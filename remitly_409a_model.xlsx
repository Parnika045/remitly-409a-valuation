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OPM_2019" sheetId="3" state="visible" r:id="rId5"/>
    <sheet name="OPM_2020" sheetId="4" state="visible" r:id="rId6"/>
    <sheet name="Hybrid_2021" sheetId="5" state="visible" r:id="rId7"/>
    <sheet name="OPM_2021" sheetId="6" state="visible" r:id="rId8"/>
    <sheet name="DLOM" sheetId="7" state="visible" r:id="rId9"/>
    <sheet name="Sensitivity" sheetId="8" state="visible" r:id="rId10"/>
    <sheet name="Results" sheetId="9" state="visible" r:id="rId11"/>
    <sheet name="Issues Log" sheetId="10" state="visible" r:id="rId12"/>
    <sheet name="Sourc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Exhibit 3.1 Original Issue Price</t>
        </r>
      </text>
    </comment>
    <comment ref="C5" authorId="0">
      <text>
        <r>
          <rPr>
            <sz val="10"/>
            <rFont val="Arial"/>
            <family val="2"/>
          </rPr>
          <t xml:space="preserve">Dec-2020 series counts (10-Q Q3-21 Note 9) less Series F; Series E fully issued by Jul-2019</t>
        </r>
      </text>
    </comment>
    <comment ref="D5" authorId="0">
      <text>
        <r>
          <rPr>
            <sz val="10"/>
            <rFont val="Arial"/>
            <family val="2"/>
          </rPr>
          <t xml:space="preserve">10-Q Q3-2021 Note 9, as of 31-Dec-2020 (Series F issued Jul-2020)</t>
        </r>
      </text>
    </comment>
    <comment ref="E5" authorId="0">
      <text>
        <r>
          <rPr>
            <sz val="10"/>
            <rFont val="Arial"/>
            <family val="2"/>
          </rPr>
          <t xml:space="preserve">Total 127,410,631 at 30-Jun-2021 (S-1); +328,026 vs Dec-20 assigned to Seed (immaterial)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Backsolved: Goal Seek C11 to 0 by changing this cell</t>
        </r>
      </text>
    </comment>
    <comment ref="C5" authorId="0">
      <text>
        <r>
          <rPr>
            <sz val="10"/>
            <rFont val="Arial"/>
            <family val="2"/>
          </rPr>
          <t xml:space="preserve">Assumed liquidity ~Feb-2023 (same exit date as 2020 valuation)</t>
        </r>
      </text>
    </comment>
    <comment ref="C6" authorId="0">
      <text>
        <r>
          <rPr>
            <sz val="10"/>
            <rFont val="Arial"/>
            <family val="2"/>
          </rPr>
          <t xml:space="preserve">Top of Remitly's disclosed option-pricing volatility range (10-K FY2021 Note 10)</t>
        </r>
      </text>
    </comment>
    <comment ref="C7" authorId="0">
      <text>
        <r>
          <rPr>
            <sz val="10"/>
            <rFont val="Arial"/>
            <family val="2"/>
          </rPr>
          <t xml:space="preserve">3-yr Treasury CMT 1.44% on 15-Aug-2019 (US Treasury daily par curve)</t>
        </r>
      </text>
    </comment>
    <comment ref="C8" authorId="0">
      <text>
        <r>
          <rPr>
            <sz val="10"/>
            <rFont val="Arial"/>
            <family val="2"/>
          </rPr>
          <t xml:space="preserve">Remitly SEC response letter 15-Sep-2021 (company-concluded DLOM)</t>
        </r>
      </text>
    </comment>
    <comment ref="C10" authorId="0">
      <text>
        <r>
          <rPr>
            <sz val="10"/>
            <rFont val="Arial"/>
            <family val="2"/>
          </rPr>
          <t xml:space="preserve">Preferred round price (S-1 / SEC letter)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Backsolved: Goal Seek C11 to 0 by changing this cell</t>
        </r>
      </text>
    </comment>
    <comment ref="C5" authorId="0">
      <text>
        <r>
          <rPr>
            <sz val="10"/>
            <rFont val="Arial"/>
            <family val="2"/>
          </rPr>
          <t xml:space="preserve">Assumed liquidity ~Feb-2023 (same exit date as 2019 valuation)</t>
        </r>
      </text>
    </comment>
    <comment ref="C6" authorId="0">
      <text>
        <r>
          <rPr>
            <sz val="10"/>
            <rFont val="Arial"/>
            <family val="2"/>
          </rPr>
          <t xml:space="preserve">Top of Remitly's disclosed option-pricing volatility range (10-K FY2021 Note 10)</t>
        </r>
      </text>
    </comment>
    <comment ref="C7" authorId="0">
      <text>
        <r>
          <rPr>
            <sz val="10"/>
            <rFont val="Arial"/>
            <family val="2"/>
          </rPr>
          <t xml:space="preserve">3-yr Treasury CMT Aug-2020 monthly average 0.16% (FRED GS3)</t>
        </r>
      </text>
    </comment>
    <comment ref="C8" authorId="0">
      <text>
        <r>
          <rPr>
            <sz val="10"/>
            <rFont val="Arial"/>
            <family val="2"/>
          </rPr>
          <t xml:space="preserve">Remitly SEC response letter 15-Sep-2021 (company-concluded DLOM)</t>
        </r>
      </text>
    </comment>
    <comment ref="C10" authorId="0">
      <text>
        <r>
          <rPr>
            <sz val="10"/>
            <rFont val="Arial"/>
            <family val="2"/>
          </rPr>
          <t xml:space="preserve">Preferred round price (S-1 / SEC letter)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SEC letter: 77.5%</t>
        </r>
      </text>
    </comment>
    <comment ref="B10" authorId="0">
      <text>
        <r>
          <rPr>
            <sz val="10"/>
            <rFont val="Arial"/>
            <family val="2"/>
          </rPr>
          <t xml:space="preserve">SEC letter: 15%</t>
        </r>
      </text>
    </comment>
    <comment ref="B11" authorId="0">
      <text>
        <r>
          <rPr>
            <sz val="10"/>
            <rFont val="Arial"/>
            <family val="2"/>
          </rPr>
          <t xml:space="preserve">SEC letter: 7.5%</t>
        </r>
      </text>
    </comment>
    <comment ref="C4" authorId="0">
      <text>
        <r>
          <rPr>
            <sz val="10"/>
            <rFont val="Arial"/>
            <family val="2"/>
          </rPr>
          <t xml:space="preserve">Assumption: late-stage venture cost of equity; sensitivity on Sensitivity tab</t>
        </r>
      </text>
    </comment>
    <comment ref="C5" authorId="0">
      <text>
        <r>
          <rPr>
            <sz val="10"/>
            <rFont val="Arial"/>
            <family val="2"/>
          </rPr>
          <t xml:space="preserve">3-yr CMT Aug-2021 monthly average 0.42% (FRED GS3)</t>
        </r>
      </text>
    </comment>
    <comment ref="C6" authorId="0">
      <text>
        <r>
          <rPr>
            <sz val="10"/>
            <rFont val="Arial"/>
            <family val="2"/>
          </rPr>
          <t xml:space="preserve">Goal Seek C24 to 0 by changing this cell</t>
        </r>
      </text>
    </comment>
    <comment ref="C7" authorId="0">
      <text>
        <r>
          <rPr>
            <sz val="10"/>
            <rFont val="Arial"/>
            <family val="2"/>
          </rPr>
          <t xml:space="preserve">Base 0%. Setting 64.3% (with P = $36.07) also matches Remitly's disclosed 14.2% blended DLOM - see notebook section 7</t>
        </r>
      </text>
    </comment>
    <comment ref="C9" authorId="0">
      <text>
        <r>
          <rPr>
            <sz val="10"/>
            <rFont val="Arial"/>
            <family val="2"/>
          </rPr>
          <t xml:space="preserve">IPO priced 22-Sep-2021 (22 days)</t>
        </r>
      </text>
    </comment>
    <comment ref="C10" authorId="0">
      <text>
        <r>
          <rPr>
            <sz val="10"/>
            <rFont val="Arial"/>
            <family val="2"/>
          </rPr>
          <t xml:space="preserve">Assumption ~Q1-2022</t>
        </r>
      </text>
    </comment>
    <comment ref="C23" authorId="0">
      <text>
        <r>
          <rPr>
            <sz val="10"/>
            <rFont val="Arial"/>
            <family val="2"/>
          </rPr>
          <t xml:space="preserve">Remitly SEC response letter</t>
        </r>
      </text>
    </comment>
    <comment ref="F9" authorId="0">
      <text>
        <r>
          <rPr>
            <sz val="10"/>
            <rFont val="Arial"/>
            <family val="2"/>
          </rPr>
          <t xml:space="preserve">SEC letter: 13.5%</t>
        </r>
      </text>
    </comment>
    <comment ref="F10" authorId="0">
      <text>
        <r>
          <rPr>
            <sz val="10"/>
            <rFont val="Arial"/>
            <family val="2"/>
          </rPr>
          <t xml:space="preserve">SEC letter: 16%</t>
        </r>
      </text>
    </comment>
    <comment ref="F11" authorId="0">
      <text>
        <r>
          <rPr>
            <sz val="10"/>
            <rFont val="Arial"/>
            <family val="2"/>
          </rPr>
          <t xml:space="preserve">SEC letter: 25%</t>
        </r>
      </text>
    </comment>
    <comment ref="F12" authorId="0">
      <text>
        <r>
          <rPr>
            <sz val="10"/>
            <rFont val="Arial"/>
            <family val="2"/>
          </rPr>
          <t xml:space="preserve">Implied blended DLOM (SEC letter: 14.2%)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Linked: equity implied by expected IPO price on Hybrid_2021</t>
        </r>
      </text>
    </comment>
    <comment ref="C5" authorId="0">
      <text>
        <r>
          <rPr>
            <sz val="10"/>
            <rFont val="Arial"/>
            <family val="2"/>
          </rPr>
          <t xml:space="preserve">Assumption: delayed exit 2 years</t>
        </r>
      </text>
    </comment>
    <comment ref="C6" authorId="0">
      <text>
        <r>
          <rPr>
            <sz val="10"/>
            <rFont val="Arial"/>
            <family val="2"/>
          </rPr>
          <t xml:space="preserve">Top of Remitly's disclosed option-pricing volatility range (10-K FY2021 Note 10)</t>
        </r>
      </text>
    </comment>
    <comment ref="C7" authorId="0">
      <text>
        <r>
          <rPr>
            <sz val="10"/>
            <rFont val="Arial"/>
            <family val="2"/>
          </rPr>
          <t xml:space="preserve">3-yr CMT Aug-2021 avg 0.42% (FRED GS3)</t>
        </r>
      </text>
    </comment>
    <comment ref="C8" authorId="0">
      <text>
        <r>
          <rPr>
            <sz val="10"/>
            <rFont val="Arial"/>
            <family val="2"/>
          </rPr>
          <t xml:space="preserve">Remitly SEC response letter 15-Sep-2021 (company-concluded DLOM)</t>
        </r>
      </text>
    </comment>
    <comment ref="C10" authorId="0">
      <text>
        <r>
          <rPr>
            <sz val="10"/>
            <rFont val="Arial"/>
            <family val="2"/>
          </rPr>
          <t xml:space="preserve">Preferred round price (S-1 / SEC letter)</t>
        </r>
      </text>
    </comment>
  </commentList>
</comments>
</file>

<file path=xl/sharedStrings.xml><?xml version="1.0" encoding="utf-8"?>
<sst xmlns="http://schemas.openxmlformats.org/spreadsheetml/2006/main" count="491" uniqueCount="250">
  <si>
    <t xml:space="preserve">Remitly Global — 409A Common Stock Valuation Re-performance</t>
  </si>
  <si>
    <t xml:space="preserve">Pre-IPO common stock fair value: OPM backsolve (2019, 2020) and hybrid PWERM/OPM (2021), reconciled to Remitly's reported 409A values</t>
  </si>
  <si>
    <t xml:space="preserve">Prepared by: Parnika Sabharwal  |  Basis: IRC §409A, AICPA Valuation Guide (cheap stock), ASC 718, ASC 820  |  $ unless stated</t>
  </si>
  <si>
    <t xml:space="preserve">Workbook flow</t>
  </si>
  <si>
    <t xml:space="preserve">Inputs (cap tables, charter terms) → OPM_2019 / OPM_2020 (breakpoints, Black-Scholes calls, allocation, backsolve) → DLOM (Finnerty, Chaffe)</t>
  </si>
  <si>
    <t xml:space="preserve">→ OPM_2021 + Hybrid_2021 (PWERM/OPM, implied IPO value) → Results. Sensitivity and Bridge tabs are static notebook outputs.</t>
  </si>
  <si>
    <t xml:space="preserve">Colour conventions: blue = input · black = formula · green = link to another tab · yellow fill = key judgement / Goal Seek cell</t>
  </si>
  <si>
    <t xml:space="preserve">Backsolve: on each OPM tab, Goal Seek the 'Calibration check' cell to 0 by changing the yellow Equity value cell. Hybrid: Goal Seek Hybrid_2021!C24 to 0 by changing C6.</t>
  </si>
  <si>
    <t xml:space="preserve">Headline</t>
  </si>
  <si>
    <t xml:space="preserve">Valuation date</t>
  </si>
  <si>
    <t xml:space="preserve">Model common FV</t>
  </si>
  <si>
    <t xml:space="preserve">Reported (Remitly)</t>
  </si>
  <si>
    <t xml:space="preserve">Difference</t>
  </si>
  <si>
    <t xml:space="preserve">15-Aug-2019</t>
  </si>
  <si>
    <t xml:space="preserve">05-Aug-2020</t>
  </si>
  <si>
    <t xml:space="preserve">31-Aug-2021</t>
  </si>
  <si>
    <t xml:space="preserve">2021 implied expected IPO value per share (solved)</t>
  </si>
  <si>
    <t xml:space="preserve">IPO range midpoint (set 10-Sep-2021) / IPO price (22-Sep-2021)</t>
  </si>
  <si>
    <t xml:space="preserve">Inputs — capital structure and charter terms</t>
  </si>
  <si>
    <t xml:space="preserve">Preferred: 1x non-participating ('greater of' OIP or as-converted), all series pari passu, 1:1 conversion (Exhibit 3.1 to S-1). Qualified IPO ≥ $9.1456 and ≥ $100M.</t>
  </si>
  <si>
    <t xml:space="preserve">Series</t>
  </si>
  <si>
    <t xml:space="preserve">Original issue price ($)</t>
  </si>
  <si>
    <t xml:space="preserve">Shares Aug-2019</t>
  </si>
  <si>
    <t xml:space="preserve">Shares Aug-2020</t>
  </si>
  <si>
    <t xml:space="preserve">Shares Aug-2021</t>
  </si>
  <si>
    <t xml:space="preserve">Liq. pref. Aug-2020 ($)</t>
  </si>
  <si>
    <t xml:space="preserve">Seed</t>
  </si>
  <si>
    <t xml:space="preserve">Seed Prime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</si>
  <si>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</si>
  <si>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</si>
  <si>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</si>
  <si>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</si>
  <si>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</si>
  <si>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</si>
  <si>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Total preferred</t>
  </si>
  <si>
    <t xml:space="preserve">Check vs 10-Q $399,815K →</t>
  </si>
  <si>
    <t xml:space="preserve">Other securities</t>
  </si>
  <si>
    <t xml:space="preserve">Aug-2019</t>
  </si>
  <si>
    <t xml:space="preserve">Aug-2020</t>
  </si>
  <si>
    <t xml:space="preserve">Aug-2021</t>
  </si>
  <si>
    <t xml:space="preserve">Source</t>
  </si>
  <si>
    <t xml:space="preserve">Common shares</t>
  </si>
  <si>
    <t xml:space="preserve">10-K FY2021 equity statement (Dec-19, Dec-20); S-1 / 10-Q (Jun-21)</t>
  </si>
  <si>
    <t xml:space="preserve">RSUs</t>
  </si>
  <si>
    <t xml:space="preserve">S-1 capitalization, 30-Jun-2021</t>
  </si>
  <si>
    <t xml:space="preserve">Options outstanding</t>
  </si>
  <si>
    <t xml:space="preserve">10-K FY2021 (Dec-19, Dec-20); S-1 (Jun-21)</t>
  </si>
  <si>
    <t xml:space="preserve">Option weighted-avg strike ($)</t>
  </si>
  <si>
    <t xml:space="preserve">Dec-20 $1.88 and Jun-21 $3.13 disclosed; Dec-19 $1.50 ESTIMATED (not disclosed)</t>
  </si>
  <si>
    <t xml:space="preserve">Warrants</t>
  </si>
  <si>
    <t xml:space="preserve">10-K FY2021; S-1</t>
  </si>
  <si>
    <t xml:space="preserve">Warrant strike ($)</t>
  </si>
  <si>
    <t xml:space="preserve">S-1, weighted-average exercise price</t>
  </si>
  <si>
    <t xml:space="preserve">OPM backsolve — 15-Aug-2019 (calibrated to Series E @ $5.9566)</t>
  </si>
  <si>
    <t xml:space="preserve">Breakpoint (tranche) method: each tranche = BS call(lower bp) − call(upper bp) on total equity; allocated to participating securities.</t>
  </si>
  <si>
    <t xml:space="preserve">Equity value V0 ($)</t>
  </si>
  <si>
    <t xml:space="preserve">Time to liquidity T (yrs)</t>
  </si>
  <si>
    <t xml:space="preserve">Volatility σ</t>
  </si>
  <si>
    <t xml:space="preserve">Risk-free rate r</t>
  </si>
  <si>
    <t xml:space="preserve">DLOM</t>
  </si>
  <si>
    <t xml:space="preserve">Calibration security</t>
  </si>
  <si>
    <t xml:space="preserve">Calibration price ($)</t>
  </si>
  <si>
    <t xml:space="preserve">Calibration check (model − round price)</t>
  </si>
  <si>
    <t xml:space="preserve">Common FV per share (after DLOM)</t>
  </si>
  <si>
    <t xml:space="preserve">Common marketable value / share →</t>
  </si>
  <si>
    <t xml:space="preserve">Reported 409A value / difference</t>
  </si>
  <si>
    <t xml:space="preserve">Security</t>
  </si>
  <si>
    <t xml:space="preserve">Shares</t>
  </si>
  <si>
    <t xml:space="preserve">Threshold p ($/sh)</t>
  </si>
  <si>
    <t xml:space="preserve">Liq. pref. ($)</t>
  </si>
  <si>
    <t xml:space="preserve">Type</t>
  </si>
  <si>
    <t xml:space="preserve">Value ($)</t>
  </si>
  <si>
    <t xml:space="preserve">Value / share</t>
  </si>
  <si>
    <t xml:space="preserve">Calib. flag</t>
  </si>
  <si>
    <t xml:space="preserve">Common</t>
  </si>
  <si>
    <t xml:space="preserve">common</t>
  </si>
  <si>
    <t xml:space="preserve">rsu</t>
  </si>
  <si>
    <t xml:space="preserve">Series Seed</t>
  </si>
  <si>
    <t xml:space="preserve">pref</t>
  </si>
  <si>
    <t xml:space="preserve">Series Seed Prime</t>
  </si>
  <si>
    <t xml:space="preserve">war</t>
  </si>
  <si>
    <t xml:space="preserve">Series A</t>
  </si>
  <si>
    <t xml:space="preserve">Series B</t>
  </si>
  <si>
    <t xml:space="preserve">Options</t>
  </si>
  <si>
    <t xml:space="preserve">opt</t>
  </si>
  <si>
    <t xml:space="preserve">Series C</t>
  </si>
  <si>
    <t xml:space="preserve">Series D</t>
  </si>
  <si>
    <t xml:space="preserve">Series E</t>
  </si>
  <si>
    <t xml:space="preserve">◄ calibration</t>
  </si>
  <si>
    <t xml:space="preserve">Series F</t>
  </si>
  <si>
    <t xml:space="preserve">Total</t>
  </si>
  <si>
    <t xml:space="preserve">V0 check →</t>
  </si>
  <si>
    <t xml:space="preserve">Tranches</t>
  </si>
  <si>
    <t xml:space="preserve">Tranche</t>
  </si>
  <si>
    <t xml:space="preserve">Lower p</t>
  </si>
  <si>
    <t xml:space="preserve">Upper p</t>
  </si>
  <si>
    <t xml:space="preserve">Participating shares</t>
  </si>
  <si>
    <t xml:space="preserve">Lower bp V ($)</t>
  </si>
  <si>
    <t xml:space="preserve">Upper bp V ($)</t>
  </si>
  <si>
    <t xml:space="preserve">Call(lower)</t>
  </si>
  <si>
    <t xml:space="preserve">Call(upper)</t>
  </si>
  <si>
    <t xml:space="preserve">Tranche value ($)</t>
  </si>
  <si>
    <t xml:space="preserve">LP (pro rata to preference)</t>
  </si>
  <si>
    <t xml:space="preserve">Tranche 1</t>
  </si>
  <si>
    <t xml:space="preserve">Tranche 2</t>
  </si>
  <si>
    <t xml:space="preserve">Tranche 3</t>
  </si>
  <si>
    <t xml:space="preserve">Tranche 4</t>
  </si>
  <si>
    <t xml:space="preserve">Tranche 5</t>
  </si>
  <si>
    <t xml:space="preserve">Tranche 6</t>
  </si>
  <si>
    <t xml:space="preserve">Tranche 7</t>
  </si>
  <si>
    <t xml:space="preserve">Tranche 8</t>
  </si>
  <si>
    <t xml:space="preserve">Tranche 9</t>
  </si>
  <si>
    <t xml:space="preserve">Tranche 10</t>
  </si>
  <si>
    <t xml:space="preserve">Tranche 11</t>
  </si>
  <si>
    <t xml:space="preserve">∞</t>
  </si>
  <si>
    <t xml:space="preserve">Σ tranche values = V0</t>
  </si>
  <si>
    <t xml:space="preserve">Allocation of tranche value ($)</t>
  </si>
  <si>
    <t xml:space="preserve">OPM backsolve — 05-Aug-2020 (calibrated to Series F @ $9.1456)</t>
  </si>
  <si>
    <t xml:space="preserve">Hybrid PWERM / OPM — 31-Aug-2021 and implied IPO value</t>
  </si>
  <si>
    <t xml:space="preserve">Weights and scenario DLOMs disclosed in Remitly's SEC letter. IPO scenarios: all preferred converts → common = IPO value per share, discounted.</t>
  </si>
  <si>
    <t xml:space="preserve">Discount rate k (PWERM)</t>
  </si>
  <si>
    <t xml:space="preserve">Risk-free (OPM scenario)</t>
  </si>
  <si>
    <t xml:space="preserve">Expected IPO value per share P (solve)</t>
  </si>
  <si>
    <t xml:space="preserve">Delayed-exit equity haircut vs IPO value</t>
  </si>
  <si>
    <t xml:space="preserve">Scenario</t>
  </si>
  <si>
    <t xml:space="preserve">Weight</t>
  </si>
  <si>
    <t xml:space="preserve">Time t (yrs)</t>
  </si>
  <si>
    <t xml:space="preserve">Value per share before DLOM</t>
  </si>
  <si>
    <t xml:space="preserve">PV / marketable</t>
  </si>
  <si>
    <t xml:space="preserve">Common FV contribution</t>
  </si>
  <si>
    <t xml:space="preserve">Early IPO (Sep-2021)</t>
  </si>
  <si>
    <t xml:space="preserve">Median IPO</t>
  </si>
  <si>
    <t xml:space="preserve">OPM — delayed exit</t>
  </si>
  <si>
    <t xml:space="preserve">Total / weighted</t>
  </si>
  <si>
    <t xml:space="preserve">Delayed-exit equity value for OPM scenario ($)</t>
  </si>
  <si>
    <t xml:space="preserve">Cap table check: FD shares (common+RSU+preferred+options+warrants)</t>
  </si>
  <si>
    <t xml:space="preserve">Hybrid common FV per share</t>
  </si>
  <si>
    <t xml:space="preserve">Reported 409A value (31-Aug-2021)</t>
  </si>
  <si>
    <t xml:space="preserve">Goal Seek target: model − reported</t>
  </si>
  <si>
    <t xml:space="preserve">Reading: P is the IPO value per share the valuation implicitly expected at 31-Aug-2021. Compare to $38–42 range (set 10-Sep-2021) and $43 IPO price.</t>
  </si>
  <si>
    <t xml:space="preserve">OPM scenario inside the 2021 hybrid (delayed exit)</t>
  </si>
  <si>
    <t xml:space="preserve">Common FV per share (OPM scenario, after its DLOM)</t>
  </si>
  <si>
    <t xml:space="preserve">DLOM cross-check — company DLOM vs put-based models</t>
  </si>
  <si>
    <t xml:space="preserve">Measure</t>
  </si>
  <si>
    <t xml:space="preserve">OPM_2019</t>
  </si>
  <si>
    <t xml:space="preserve">OPM_2020</t>
  </si>
  <si>
    <t xml:space="preserve">Formula / note</t>
  </si>
  <si>
    <t xml:space="preserve">T (yrs)</t>
  </si>
  <si>
    <t xml:space="preserve">σ</t>
  </si>
  <si>
    <t xml:space="preserve">r</t>
  </si>
  <si>
    <t xml:space="preserve">Finnerty (2012) average-strike put</t>
  </si>
  <si>
    <t xml:space="preserve">v²T = σ²T + ln[2(e^{σ²T} − σ²T − 1)] − 2 ln(e^{σ²T} − 1); DLOM = N(v√T/2) − N(−v√T/2)</t>
  </si>
  <si>
    <t xml:space="preserve">Chaffe (1993) ATM protective put / spot</t>
  </si>
  <si>
    <t xml:space="preserve">BS put with K = S</t>
  </si>
  <si>
    <t xml:space="preserve">Company DLOM (Remitly)</t>
  </si>
  <si>
    <t xml:space="preserve">SEC letter</t>
  </si>
  <si>
    <t xml:space="preserve">Common marketable / share</t>
  </si>
  <si>
    <t xml:space="preserve">FV @ Finnerty</t>
  </si>
  <si>
    <t xml:space="preserve">FV @ Chaffe</t>
  </si>
  <si>
    <t xml:space="preserve">FV @ company DLOM</t>
  </si>
  <si>
    <t xml:space="preserve">Sensitivities (static output from validation notebook / engine)</t>
  </si>
  <si>
    <t xml:space="preserve">05-Aug-2020 common FV (after 25% DLOM): time to liquidity (rows) × volatility (columns)</t>
  </si>
  <si>
    <t xml:space="preserve">T \ σ</t>
  </si>
  <si>
    <t xml:space="preserve">40%</t>
  </si>
  <si>
    <t xml:space="preserve">45%</t>
  </si>
  <si>
    <t xml:space="preserve">50%</t>
  </si>
  <si>
    <t xml:space="preserve">54%</t>
  </si>
  <si>
    <t xml:space="preserve">60%</t>
  </si>
  <si>
    <t xml:space="preserve">Reported: $3.54</t>
  </si>
  <si>
    <t xml:space="preserve">2021 implied expected IPO value: median-IPO timing (rows) × PWERM discount rate (columns)</t>
  </si>
  <si>
    <t xml:space="preserve">Median IPO t</t>
  </si>
  <si>
    <t xml:space="preserve">15%</t>
  </si>
  <si>
    <t xml:space="preserve">20%</t>
  </si>
  <si>
    <t xml:space="preserve">25%</t>
  </si>
  <si>
    <t xml:space="preserve">30%</t>
  </si>
  <si>
    <t xml:space="preserve">median t=0.25</t>
  </si>
  <si>
    <t xml:space="preserve">0.5</t>
  </si>
  <si>
    <t xml:space="preserve">0.75</t>
  </si>
  <si>
    <t xml:space="preserve">1.0</t>
  </si>
  <si>
    <t xml:space="preserve">Bridge: $40.00 midpoint → probability &amp; timing → DLOM → implied lower expected IPO value → $28.73</t>
  </si>
  <si>
    <t xml:space="preserve">Step</t>
  </si>
  <si>
    <t xml:space="preserve">$ / share</t>
  </si>
  <si>
    <t xml:space="preserve">IPO range midpoint</t>
  </si>
  <si>
    <t xml:space="preserve">Probability &amp; timing</t>
  </si>
  <si>
    <t xml:space="preserve">Lower IPO value expected at valuation date</t>
  </si>
  <si>
    <t xml:space="preserve">Reported FV</t>
  </si>
  <si>
    <t xml:space="preserve">Results summary</t>
  </si>
  <si>
    <t xml:space="preserve">Method</t>
  </si>
  <si>
    <t xml:space="preserve">Calibrated to</t>
  </si>
  <si>
    <t xml:space="preserve">Equity value ($)</t>
  </si>
  <si>
    <t xml:space="preserve">Common marketable</t>
  </si>
  <si>
    <t xml:space="preserve">Common FV (model)</t>
  </si>
  <si>
    <t xml:space="preserve">Reported</t>
  </si>
  <si>
    <t xml:space="preserve">Error</t>
  </si>
  <si>
    <t xml:space="preserve">OPM backsolve</t>
  </si>
  <si>
    <t xml:space="preserve">Series E $5.9566</t>
  </si>
  <si>
    <t xml:space="preserve">Series F $9.1456</t>
  </si>
  <si>
    <t xml:space="preserve">Hybrid PWERM/OPM</t>
  </si>
  <si>
    <t xml:space="preserve">Implied IPO value (solved)</t>
  </si>
  <si>
    <t xml:space="preserve">• 2019 and 2020: the OPM backsolve to the contemporaneous preferred round reproduces Remitly's 409A values within 1% with σ 54% and a single ~Feb-2023 liquidity date.</t>
  </si>
  <si>
    <t xml:space="preserve">• DLOM: Remitly's 30% / 25% lie between Finnerty (21% / 18%) and Chaffe (35% / 33%) — see DLOM tab.</t>
  </si>
  <si>
    <t xml:space="preserve">• 2021: the hybrid reproduces $28.73 when the expected IPO value is ≈ $34.5–36.1 per share, vs the $38–42 range set 10 days later and $43 IPO price — see Sensitivity bridge.</t>
  </si>
  <si>
    <t xml:space="preserve">• For 2021 the IPO value is solved (not observed), so the 2021 result is a reconciliation, not an independent test.</t>
  </si>
  <si>
    <t xml:space="preserve">Issues log — points for auditor / client follow-up</t>
  </si>
  <si>
    <t xml:space="preserve">#</t>
  </si>
  <si>
    <t xml:space="preserve">Issue</t>
  </si>
  <si>
    <t xml:space="preserve">Treatment</t>
  </si>
  <si>
    <t xml:space="preserve">Impact / next step</t>
  </si>
  <si>
    <t xml:space="preserve">Option pool modelled as one tranche at weighted-average strike</t>
  </si>
  <si>
    <t xml:space="preserve">Single tranche ($1.50 / $1.88 / $3.13)</t>
  </si>
  <si>
    <t xml:space="preserve">Obtain strike-by-tranche listing; effect small (2019: ±$0.02 for strike $1–2)</t>
  </si>
  <si>
    <t xml:space="preserve">Dec-2019 option strike not disclosed</t>
  </si>
  <si>
    <t xml:space="preserve">Estimated $1.50</t>
  </si>
  <si>
    <t xml:space="preserve">Sensitivity on Notebook §5</t>
  </si>
  <si>
    <t xml:space="preserve">Aug-2020 / Aug-2021 risk-free from monthly averages</t>
  </si>
  <si>
    <t xml:space="preserve">FRED GS3 monthly average</t>
  </si>
  <si>
    <t xml:space="preserve">Rates near zero; effect &lt; $0.01</t>
  </si>
  <si>
    <t xml:space="preserve">Volatility and term not disclosed by Remitly</t>
  </si>
  <si>
    <t xml:space="preserve">σ 54% (top of disclosed option-vol range), single ~Feb-2023 exit</t>
  </si>
  <si>
    <t xml:space="preserve">Frontier analysis (Notebook §5) shows inputs reproducing reported values</t>
  </si>
  <si>
    <t xml:space="preserve">2021 PWERM scenario values not disclosed</t>
  </si>
  <si>
    <t xml:space="preserve">IPO value solved; k 20%, median t 0.5 assumed</t>
  </si>
  <si>
    <t xml:space="preserve">Implied value $34–36 across k 15–30% and t 0.25–1.0; ask for bank indications</t>
  </si>
  <si>
    <t xml:space="preserve">Charter OIP × shares = $399.80M vs 10-Q aggregate preference $399.815M</t>
  </si>
  <si>
    <t xml:space="preserve">Charter OIPs used (−$11K)</t>
  </si>
  <si>
    <t xml:space="preserve">Rounding in 10-Q table; immaterial</t>
  </si>
  <si>
    <t xml:space="preserve">Blended 2021 DLOM 14.7% (model) vs 14.2% (disclosed)</t>
  </si>
  <si>
    <t xml:space="preserve">Base: delayed-exit equity = IPO-implied value</t>
  </si>
  <si>
    <t xml:space="preserve">Matching 14.2% needs delayed-exit equity ≈ 36% of IPO value → implied IPO value $36.07 (vs $34.51)</t>
  </si>
  <si>
    <t xml:space="preserve">Cheap-stock risk on Aug–Sep 2021 grants</t>
  </si>
  <si>
    <t xml:space="preserve">Implied $34.5–36.1 vs $43 IPO</t>
  </si>
  <si>
    <t xml:space="preserve">Remitly linearly interpolated grant-date FVs between valuations (SEC letter); confirm ASC 718 expense</t>
  </si>
  <si>
    <t xml:space="preserve">Sources</t>
  </si>
  <si>
    <t xml:space="preserve">Remitly SEC response letter (cheap stock), 15-Sep-2021</t>
  </si>
  <si>
    <t xml:space="preserve">https://ir.remitly.com/static-files/2fcbf1c6-b6aa-4cde-a4fa-53922b10cf87</t>
  </si>
  <si>
    <t xml:space="preserve">Remitly S-1 (Aug-2021)</t>
  </si>
  <si>
    <t xml:space="preserve">https://www.sec.gov/Archives/edgar/data/1782170/000162828021017788/remitlyglobalinc-sx1.htm</t>
  </si>
  <si>
    <t xml:space="preserve">Amended &amp; Restated Certificate of Incorporation (Ex. 3.1 to S-1)</t>
  </si>
  <si>
    <t xml:space="preserve">https://www.sec.gov/Archives/edgar/data/1782170/000162828021017788/exhibit31-sx1.htm</t>
  </si>
  <si>
    <t xml:space="preserve">Remitly 10-Q Q3-2021 (preferred by series, Dec-2020)</t>
  </si>
  <si>
    <t xml:space="preserve">https://ir.remitly.com/node/6906/html</t>
  </si>
  <si>
    <t xml:space="preserve">Remitly 10-K FY2021 (options, common, BS assumptions)</t>
  </si>
  <si>
    <t xml:space="preserve">https://www.sec.gov/Archives/edgar/data/1782170/000178217022000048/rely-20211231.htm</t>
  </si>
  <si>
    <t xml:space="preserve">US Treasury daily par yield curve 2019</t>
  </si>
  <si>
    <t xml:space="preserve">https://home.treasury.gov/resource-center/data-chart-center/interest-rates/daily-treasury-rates.csv/2019/all?type=daily_treasury_yield_curve&amp;field_tdr_date_value=2019&amp;_format=csv</t>
  </si>
  <si>
    <t xml:space="preserve">FRED GS3 (3-yr CMT, monthly)</t>
  </si>
  <si>
    <t xml:space="preserve">https://fred.stlouisfed.org/data/GS3</t>
  </si>
  <si>
    <t xml:space="preserve">Remitly IPO pricing press release (22-Sep-2021, $43)</t>
  </si>
  <si>
    <t xml:space="preserve">https://www.businesswire.com/news/home/20210922006057/en</t>
  </si>
  <si>
    <t xml:space="preserve">AICPA Accounting &amp; Valuation Guide: Valuation of Privately-Held-Company Equity Securities Issued as Compensation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</si>
</sst>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0.00"/>
    <numFmt numFmtId="166" formatCode="0.00%"/>
    <numFmt numFmtId="167" formatCode="\$0.00000"/>
    <numFmt numFmtId="168" formatCode="#,##0"/>
    <numFmt numFmtId="169" formatCode="\$#,##0;&quot;($&quot;#,##0\);\-"/>
    <numFmt numFmtId="170" formatCode="0.00"/>
    <numFmt numFmtId="171" formatCode="0.0%"/>
    <numFmt numFmtId="172" formatCode="\$0.0000"/>
    <numFmt numFmtId="173" formatCode="\$0.0000;&quot;($&quot;0.0000\);\-"/>
    <numFmt numFmtId="174" formatCode="0.000"/>
    <numFmt numFmtId="175" formatCode="0.0"/>
    <numFmt numFmtId="176" formatCode="\$0.00;&quot;($&quot;0.00\)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2" t="s">
        <v>8</v>
      </c>
    </row>
    <row r="15" customFormat="false" ht="26.85" hidden="false" customHeight="false" outlineLevel="0" collapsed="false">
      <c r="A15" s="4" t="s">
        <v>9</v>
      </c>
      <c r="B15" s="4" t="s">
        <v>10</v>
      </c>
      <c r="C15" s="4" t="s">
        <v>11</v>
      </c>
      <c r="D15" s="4" t="s">
        <v>12</v>
      </c>
    </row>
    <row r="16" customFormat="false" ht="15" hidden="false" customHeight="false" outlineLevel="0" collapsed="false">
      <c r="A16" s="2" t="s">
        <v>13</v>
      </c>
      <c r="B16" s="5" t="n">
        <f aca="false">OPM_2019!C12</f>
        <v>2.51730555421287</v>
      </c>
      <c r="C16" s="6" t="n">
        <v>2.51</v>
      </c>
      <c r="D16" s="7" t="n">
        <f aca="false">B16/C16-1</f>
        <v>0.00291057936767669</v>
      </c>
    </row>
    <row r="17" customFormat="false" ht="15" hidden="false" customHeight="false" outlineLevel="0" collapsed="false">
      <c r="A17" s="2" t="s">
        <v>14</v>
      </c>
      <c r="B17" s="5" t="n">
        <f aca="false">OPM_2020!C12</f>
        <v>3.56552328693452</v>
      </c>
      <c r="C17" s="6" t="n">
        <v>3.54</v>
      </c>
      <c r="D17" s="7" t="n">
        <f aca="false">B17/C17-1</f>
        <v>0.00720996806059993</v>
      </c>
    </row>
    <row r="18" customFormat="false" ht="15" hidden="false" customHeight="false" outlineLevel="0" collapsed="false">
      <c r="A18" s="2" t="s">
        <v>15</v>
      </c>
      <c r="B18" s="5" t="n">
        <f aca="false">Hybrid_2021!C22</f>
        <v>28.73</v>
      </c>
      <c r="C18" s="6" t="n">
        <v>28.73</v>
      </c>
      <c r="D18" s="7" t="n">
        <f aca="false">B18/C18-1</f>
        <v>0</v>
      </c>
    </row>
    <row r="20" customFormat="false" ht="15" hidden="false" customHeight="false" outlineLevel="0" collapsed="false">
      <c r="A20" s="3" t="s">
        <v>16</v>
      </c>
      <c r="B20" s="5" t="n">
        <f aca="false">Hybrid_2021!C6</f>
        <v>34.5072237599012</v>
      </c>
    </row>
    <row r="21" customFormat="false" ht="15" hidden="false" customHeight="false" outlineLevel="0" collapsed="false">
      <c r="A21" s="3" t="s">
        <v>17</v>
      </c>
      <c r="B21" s="6" t="n">
        <v>40</v>
      </c>
      <c r="C21" s="6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8" t="s">
        <v>19</v>
      </c>
    </row>
    <row r="4" customFormat="false" ht="26.85" hidden="false" customHeight="false" outlineLevel="0" collapsed="false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</row>
    <row r="5" customFormat="false" ht="15" hidden="false" customHeight="false" outlineLevel="0" collapsed="false">
      <c r="A5" s="2" t="s">
        <v>26</v>
      </c>
      <c r="B5" s="9" t="n">
        <v>0.2729</v>
      </c>
      <c r="C5" s="10" t="n">
        <v>6446322</v>
      </c>
      <c r="D5" s="10" t="n">
        <v>6446322</v>
      </c>
      <c r="E5" s="10" t="n">
        <v>6774348</v>
      </c>
      <c r="F5" s="11" t="n">
        <f aca="false">B5*D5</f>
        <v>1759201.2738</v>
      </c>
    </row>
    <row r="6" customFormat="false" ht="15" hidden="false" customHeight="false" outlineLevel="0" collapsed="false">
      <c r="A6" s="2" t="s">
        <v>27</v>
      </c>
      <c r="B6" s="9" t="n">
        <v>0.2961</v>
      </c>
      <c r="C6" s="10" t="n">
        <v>8643665</v>
      </c>
      <c r="D6" s="10" t="n">
        <v>8643665</v>
      </c>
      <c r="E6" s="10" t="n">
        <v>8643665</v>
      </c>
      <c r="F6" s="11" t="n">
        <f aca="false">B6*D6</f>
        <v>2559389.2065</v>
      </c>
    </row>
    <row r="7" customFormat="false" ht="15" hidden="false" customHeight="false" outlineLevel="0" collapsed="false">
      <c r="A7" s="2" t="s">
        <v>28</v>
      </c>
      <c r="B7" s="9" t="n">
        <v>0.49764</v>
      </c>
      <c r="C7" s="10" t="n">
        <v>10359546</v>
      </c>
      <c r="D7" s="10" t="n">
        <v>10359546</v>
      </c>
      <c r="E7" s="10" t="n">
        <v>10359546</v>
      </c>
      <c r="F7" s="11" t="n">
        <f aca="false">B7*D7</f>
        <v>5155324.47144</v>
      </c>
    </row>
    <row r="8" customFormat="false" ht="15" hidden="false" customHeight="false" outlineLevel="0" collapsed="false">
      <c r="A8" s="2" t="s">
        <v>29</v>
      </c>
      <c r="B8" s="9" t="n">
        <v>0.8805</v>
      </c>
      <c r="C8" s="10" t="n">
        <v>14196476</v>
      </c>
      <c r="D8" s="10" t="n">
        <v>14196476</v>
      </c>
      <c r="E8" s="10" t="n">
        <v>14196476</v>
      </c>
      <c r="F8" s="11" t="n">
        <f aca="false">B8*D8</f>
        <v>12499997.118</v>
      </c>
    </row>
    <row r="9" customFormat="false" ht="15" hidden="false" customHeight="false" outlineLevel="0" collapsed="false">
      <c r="A9" s="2" t="s">
        <v>30</v>
      </c>
      <c r="B9" s="9" t="n">
        <v>1.7032</v>
      </c>
      <c r="C9" s="10" t="n">
        <v>25146777</v>
      </c>
      <c r="D9" s="10" t="n">
        <v>25146777</v>
      </c>
      <c r="E9" s="10" t="n">
        <v>25146777</v>
      </c>
      <c r="F9" s="11" t="n">
        <f aca="false">B9*D9</f>
        <v>42829990.5864</v>
      </c>
    </row>
    <row r="10" customFormat="false" ht="15" hidden="false" customHeight="false" outlineLevel="0" collapsed="false">
      <c r="A10" s="2" t="s">
        <v>31</v>
      </c>
      <c r="B10" s="9" t="n">
        <v>3.7914</v>
      </c>
      <c r="C10" s="10" t="n">
        <v>30331802</v>
      </c>
      <c r="D10" s="10" t="n">
        <v>30331802</v>
      </c>
      <c r="E10" s="10" t="n">
        <v>30331802</v>
      </c>
      <c r="F10" s="11" t="n">
        <f aca="false">B10*D10</f>
        <v>114999994.1028</v>
      </c>
    </row>
    <row r="11" customFormat="false" ht="15" hidden="false" customHeight="false" outlineLevel="0" collapsed="false">
      <c r="A11" s="2" t="s">
        <v>32</v>
      </c>
      <c r="B11" s="9" t="n">
        <v>5.9566</v>
      </c>
      <c r="C11" s="10" t="n">
        <v>22663933</v>
      </c>
      <c r="D11" s="10" t="n">
        <v>22663933</v>
      </c>
      <c r="E11" s="10" t="n">
        <v>22663933</v>
      </c>
      <c r="F11" s="11" t="n">
        <f aca="false">B11*D11</f>
        <v>134999983.3078</v>
      </c>
    </row>
    <row r="12" customFormat="false" ht="15" hidden="false" customHeight="false" outlineLevel="0" collapsed="false">
      <c r="A12" s="2" t="s">
        <v>33</v>
      </c>
      <c r="B12" s="9" t="n">
        <v>9.1456</v>
      </c>
      <c r="C12" s="10" t="n">
        <v>0</v>
      </c>
      <c r="D12" s="10" t="n">
        <v>9294084</v>
      </c>
      <c r="E12" s="10" t="n">
        <v>9294084</v>
      </c>
      <c r="F12" s="11" t="n">
        <f aca="false">B12*D12</f>
        <v>84999974.6304</v>
      </c>
    </row>
    <row r="13" customFormat="false" ht="15" hidden="false" customHeight="false" outlineLevel="0" collapsed="false">
      <c r="A13" s="2" t="s">
        <v>34</v>
      </c>
      <c r="C13" s="12" t="n">
        <f aca="false">SUM(C5:C12)</f>
        <v>117788521</v>
      </c>
      <c r="D13" s="12" t="n">
        <f aca="false">SUM(D5:D12)</f>
        <v>127082605</v>
      </c>
      <c r="E13" s="12" t="n">
        <f aca="false">SUM(E5:E12)</f>
        <v>127410631</v>
      </c>
      <c r="F13" s="13" t="n">
        <f aca="false">SUM(F5:F12)</f>
        <v>399803854.69714</v>
      </c>
      <c r="G13" s="3" t="s">
        <v>35</v>
      </c>
      <c r="H13" s="14" t="n">
        <f aca="false">ROUND(F13/1000,0)-399815</f>
        <v>-11</v>
      </c>
    </row>
    <row r="15" customFormat="false" ht="15" hidden="false" customHeight="false" outlineLevel="0" collapsed="false">
      <c r="A15" s="4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customFormat="false" ht="15" hidden="false" customHeight="false" outlineLevel="0" collapsed="false">
      <c r="A16" s="2" t="s">
        <v>41</v>
      </c>
      <c r="B16" s="10" t="n">
        <v>22425112</v>
      </c>
      <c r="C16" s="10" t="n">
        <v>24289906</v>
      </c>
      <c r="D16" s="10" t="n">
        <v>26385643</v>
      </c>
      <c r="E16" s="3" t="s">
        <v>42</v>
      </c>
    </row>
    <row r="17" customFormat="false" ht="15" hidden="false" customHeight="false" outlineLevel="0" collapsed="false">
      <c r="A17" s="2" t="s">
        <v>43</v>
      </c>
      <c r="B17" s="10" t="n">
        <v>0</v>
      </c>
      <c r="C17" s="10" t="n">
        <v>0</v>
      </c>
      <c r="D17" s="10" t="n">
        <v>617696</v>
      </c>
      <c r="E17" s="3" t="s">
        <v>44</v>
      </c>
    </row>
    <row r="18" customFormat="false" ht="15" hidden="false" customHeight="false" outlineLevel="0" collapsed="false">
      <c r="A18" s="2" t="s">
        <v>45</v>
      </c>
      <c r="B18" s="10" t="n">
        <v>19045751</v>
      </c>
      <c r="C18" s="10" t="n">
        <v>21034424</v>
      </c>
      <c r="D18" s="10" t="n">
        <v>25355906</v>
      </c>
      <c r="E18" s="3" t="s">
        <v>46</v>
      </c>
    </row>
    <row r="19" customFormat="false" ht="15" hidden="false" customHeight="false" outlineLevel="0" collapsed="false">
      <c r="A19" s="2" t="s">
        <v>47</v>
      </c>
      <c r="B19" s="15" t="n">
        <v>1.5</v>
      </c>
      <c r="C19" s="6" t="n">
        <v>1.88</v>
      </c>
      <c r="D19" s="6" t="n">
        <v>3.13</v>
      </c>
      <c r="E19" s="3" t="s">
        <v>48</v>
      </c>
    </row>
    <row r="20" customFormat="false" ht="15" hidden="false" customHeight="false" outlineLevel="0" collapsed="false">
      <c r="A20" s="2" t="s">
        <v>49</v>
      </c>
      <c r="B20" s="10" t="n">
        <v>256250</v>
      </c>
      <c r="C20" s="10" t="n">
        <v>256250</v>
      </c>
      <c r="D20" s="10" t="n">
        <v>256250</v>
      </c>
      <c r="E20" s="3" t="s">
        <v>50</v>
      </c>
    </row>
    <row r="21" customFormat="false" ht="15" hidden="false" customHeight="false" outlineLevel="0" collapsed="false">
      <c r="A21" s="2" t="s">
        <v>51</v>
      </c>
      <c r="B21" s="6" t="n">
        <v>0.42</v>
      </c>
      <c r="C21" s="6" t="n">
        <v>0.42</v>
      </c>
      <c r="D21" s="6" t="n">
        <v>0.42</v>
      </c>
      <c r="E21" s="3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8" t="s">
        <v>54</v>
      </c>
    </row>
    <row r="4" customFormat="false" ht="15" hidden="false" customHeight="false" outlineLevel="0" collapsed="false">
      <c r="A4" s="3" t="s">
        <v>55</v>
      </c>
      <c r="C4" s="16" t="n">
        <v>663701696.426656</v>
      </c>
    </row>
    <row r="5" customFormat="false" ht="15" hidden="false" customHeight="false" outlineLevel="0" collapsed="false">
      <c r="A5" s="3" t="s">
        <v>56</v>
      </c>
      <c r="C5" s="17" t="n">
        <v>3.5</v>
      </c>
    </row>
    <row r="6" customFormat="false" ht="15" hidden="false" customHeight="false" outlineLevel="0" collapsed="false">
      <c r="A6" s="3" t="s">
        <v>57</v>
      </c>
      <c r="C6" s="18" t="n">
        <v>0.54</v>
      </c>
    </row>
    <row r="7" customFormat="false" ht="15" hidden="false" customHeight="false" outlineLevel="0" collapsed="false">
      <c r="A7" s="3" t="s">
        <v>58</v>
      </c>
      <c r="C7" s="19" t="n">
        <v>0.0144</v>
      </c>
    </row>
    <row r="8" customFormat="false" ht="15" hidden="false" customHeight="false" outlineLevel="0" collapsed="false">
      <c r="A8" s="3" t="s">
        <v>59</v>
      </c>
      <c r="C8" s="18" t="n">
        <v>0.3</v>
      </c>
    </row>
    <row r="9" customFormat="false" ht="15" hidden="false" customHeight="false" outlineLevel="0" collapsed="false">
      <c r="A9" s="3" t="s">
        <v>60</v>
      </c>
      <c r="C9" s="20" t="s">
        <v>32</v>
      </c>
    </row>
    <row r="10" customFormat="false" ht="15" hidden="false" customHeight="false" outlineLevel="0" collapsed="false">
      <c r="A10" s="3" t="s">
        <v>61</v>
      </c>
      <c r="C10" s="21" t="n">
        <v>5.9566</v>
      </c>
    </row>
    <row r="11" customFormat="false" ht="15" hidden="false" customHeight="false" outlineLevel="0" collapsed="false">
      <c r="A11" s="2" t="s">
        <v>62</v>
      </c>
      <c r="C11" s="22" t="n">
        <f aca="false">G26-C10</f>
        <v>0</v>
      </c>
    </row>
    <row r="12" customFormat="false" ht="15" hidden="false" customHeight="false" outlineLevel="0" collapsed="false">
      <c r="A12" s="2" t="s">
        <v>63</v>
      </c>
      <c r="C12" s="23" t="n">
        <f aca="false">G16*(1-C8)</f>
        <v>2.51730555421287</v>
      </c>
      <c r="E12" s="3" t="s">
        <v>64</v>
      </c>
      <c r="H12" s="24" t="n">
        <f aca="false">G16</f>
        <v>3.59615079173267</v>
      </c>
    </row>
    <row r="13" customFormat="false" ht="15" hidden="false" customHeight="false" outlineLevel="0" collapsed="false">
      <c r="A13" s="2" t="s">
        <v>65</v>
      </c>
      <c r="C13" s="6" t="n">
        <v>2.51</v>
      </c>
      <c r="D13" s="7" t="n">
        <f aca="false">C12/C13-1</f>
        <v>0.00291057936767669</v>
      </c>
    </row>
    <row r="15" customFormat="false" ht="26.85" hidden="false" customHeight="false" outlineLevel="0" collapsed="false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72</v>
      </c>
      <c r="H15" s="4" t="s">
        <v>73</v>
      </c>
    </row>
    <row r="16" customFormat="false" ht="15" hidden="false" customHeight="false" outlineLevel="0" collapsed="false">
      <c r="A16" s="2" t="s">
        <v>74</v>
      </c>
      <c r="B16" s="25" t="n">
        <f aca="false">Inputs!B16</f>
        <v>22425112</v>
      </c>
      <c r="C16" s="26" t="n">
        <v>0</v>
      </c>
      <c r="D16" s="11" t="n">
        <v>0</v>
      </c>
      <c r="E16" s="3" t="s">
        <v>75</v>
      </c>
      <c r="F16" s="11" t="n">
        <f aca="false">N48</f>
        <v>80644084.2734938</v>
      </c>
      <c r="G16" s="24" t="n">
        <f aca="false">IF(B16&gt;0,F16/B16,0)</f>
        <v>3.59615079173267</v>
      </c>
    </row>
    <row r="17" customFormat="false" ht="15" hidden="false" customHeight="false" outlineLevel="0" collapsed="false">
      <c r="A17" s="2" t="s">
        <v>43</v>
      </c>
      <c r="B17" s="25" t="n">
        <f aca="false">Inputs!B17</f>
        <v>0</v>
      </c>
      <c r="C17" s="26" t="n">
        <v>0</v>
      </c>
      <c r="D17" s="11" t="n">
        <v>0</v>
      </c>
      <c r="E17" s="3" t="s">
        <v>76</v>
      </c>
      <c r="F17" s="11" t="n">
        <f aca="false">N49</f>
        <v>0</v>
      </c>
      <c r="G17" s="24" t="n">
        <f aca="false">IF(B17&gt;0,F17/B17,0)</f>
        <v>0</v>
      </c>
    </row>
    <row r="18" customFormat="false" ht="15" hidden="false" customHeight="false" outlineLevel="0" collapsed="false">
      <c r="A18" s="2" t="s">
        <v>77</v>
      </c>
      <c r="B18" s="25" t="n">
        <f aca="false">Inputs!C5</f>
        <v>6446322</v>
      </c>
      <c r="C18" s="27" t="n">
        <f aca="false">Inputs!B5</f>
        <v>0.2729</v>
      </c>
      <c r="D18" s="11" t="n">
        <f aca="false">B18*C18</f>
        <v>1759201.2738</v>
      </c>
      <c r="E18" s="3" t="s">
        <v>78</v>
      </c>
      <c r="F18" s="11" t="n">
        <f aca="false">N50</f>
        <v>23551369.7974945</v>
      </c>
      <c r="G18" s="24" t="n">
        <f aca="false">IF(B18&gt;0,F18/B18,0)</f>
        <v>3.65345848337928</v>
      </c>
    </row>
    <row r="19" customFormat="false" ht="15" hidden="false" customHeight="false" outlineLevel="0" collapsed="false">
      <c r="A19" s="2" t="s">
        <v>79</v>
      </c>
      <c r="B19" s="25" t="n">
        <f aca="false">Inputs!C6</f>
        <v>8643665</v>
      </c>
      <c r="C19" s="27" t="n">
        <f aca="false">Inputs!B6</f>
        <v>0.2961</v>
      </c>
      <c r="D19" s="11" t="n">
        <f aca="false">B19*C19</f>
        <v>2559389.2065</v>
      </c>
      <c r="E19" s="3" t="s">
        <v>78</v>
      </c>
      <c r="F19" s="11" t="n">
        <f aca="false">N51</f>
        <v>31622154.6504293</v>
      </c>
      <c r="G19" s="24" t="n">
        <f aca="false">IF(B19&gt;0,F19/B19,0)</f>
        <v>3.65841973866748</v>
      </c>
    </row>
    <row r="20" customFormat="false" ht="15" hidden="false" customHeight="false" outlineLevel="0" collapsed="false">
      <c r="A20" s="2" t="s">
        <v>49</v>
      </c>
      <c r="B20" s="25" t="n">
        <f aca="false">Inputs!B20</f>
        <v>256250</v>
      </c>
      <c r="C20" s="27" t="n">
        <f aca="false">Inputs!B21</f>
        <v>0.42</v>
      </c>
      <c r="D20" s="11" t="n">
        <v>0</v>
      </c>
      <c r="E20" s="3" t="s">
        <v>80</v>
      </c>
      <c r="F20" s="11" t="n">
        <f aca="false">N52</f>
        <v>859557.311174908</v>
      </c>
      <c r="G20" s="24" t="n">
        <f aca="false">IF(B20&gt;0,F20/B20,0)</f>
        <v>3.35436999482891</v>
      </c>
    </row>
    <row r="21" customFormat="false" ht="15" hidden="false" customHeight="false" outlineLevel="0" collapsed="false">
      <c r="A21" s="2" t="s">
        <v>81</v>
      </c>
      <c r="B21" s="25" t="n">
        <f aca="false">Inputs!C7</f>
        <v>10359546</v>
      </c>
      <c r="C21" s="27" t="n">
        <f aca="false">Inputs!B7</f>
        <v>0.49764</v>
      </c>
      <c r="D21" s="11" t="n">
        <f aca="false">B21*C21</f>
        <v>5155324.47144</v>
      </c>
      <c r="E21" s="3" t="s">
        <v>78</v>
      </c>
      <c r="F21" s="11" t="n">
        <f aca="false">N53</f>
        <v>38355702.6573716</v>
      </c>
      <c r="G21" s="24" t="n">
        <f aca="false">IF(B21&gt;0,F21/B21,0)</f>
        <v>3.70245015151934</v>
      </c>
    </row>
    <row r="22" customFormat="false" ht="15" hidden="false" customHeight="false" outlineLevel="0" collapsed="false">
      <c r="A22" s="2" t="s">
        <v>82</v>
      </c>
      <c r="B22" s="25" t="n">
        <f aca="false">Inputs!C8</f>
        <v>14196476</v>
      </c>
      <c r="C22" s="27" t="n">
        <f aca="false">Inputs!B8</f>
        <v>0.8805</v>
      </c>
      <c r="D22" s="11" t="n">
        <f aca="false">B22*C22</f>
        <v>12499997.118</v>
      </c>
      <c r="E22" s="3" t="s">
        <v>78</v>
      </c>
      <c r="F22" s="11" t="n">
        <f aca="false">N54</f>
        <v>53826927.9688912</v>
      </c>
      <c r="G22" s="24" t="n">
        <f aca="false">IF(B22&gt;0,F22/B22,0)</f>
        <v>3.791569680313</v>
      </c>
    </row>
    <row r="23" customFormat="false" ht="15" hidden="false" customHeight="false" outlineLevel="0" collapsed="false">
      <c r="A23" s="2" t="s">
        <v>83</v>
      </c>
      <c r="B23" s="25" t="n">
        <f aca="false">Inputs!B18</f>
        <v>19045751</v>
      </c>
      <c r="C23" s="27" t="n">
        <f aca="false">Inputs!B19</f>
        <v>1.5</v>
      </c>
      <c r="D23" s="11" t="n">
        <v>0</v>
      </c>
      <c r="E23" s="3" t="s">
        <v>84</v>
      </c>
      <c r="F23" s="11" t="n">
        <f aca="false">N55</f>
        <v>52802484.0187716</v>
      </c>
      <c r="G23" s="24" t="n">
        <f aca="false">IF(B23&gt;0,F23/B23,0)</f>
        <v>2.7724023074108</v>
      </c>
    </row>
    <row r="24" customFormat="false" ht="15" hidden="false" customHeight="false" outlineLevel="0" collapsed="false">
      <c r="A24" s="2" t="s">
        <v>85</v>
      </c>
      <c r="B24" s="25" t="n">
        <f aca="false">Inputs!C9</f>
        <v>25146777</v>
      </c>
      <c r="C24" s="27" t="n">
        <f aca="false">Inputs!B9</f>
        <v>1.7032</v>
      </c>
      <c r="D24" s="11" t="n">
        <f aca="false">B24*C24</f>
        <v>42829990.5864</v>
      </c>
      <c r="E24" s="3" t="s">
        <v>78</v>
      </c>
      <c r="F24" s="11" t="n">
        <f aca="false">N56</f>
        <v>100917310.320918</v>
      </c>
      <c r="G24" s="24" t="n">
        <f aca="false">IF(B24&gt;0,F24/B24,0)</f>
        <v>4.01313099968708</v>
      </c>
    </row>
    <row r="25" customFormat="false" ht="15" hidden="false" customHeight="false" outlineLevel="0" collapsed="false">
      <c r="A25" s="2" t="s">
        <v>86</v>
      </c>
      <c r="B25" s="25" t="n">
        <f aca="false">Inputs!C10</f>
        <v>30331802</v>
      </c>
      <c r="C25" s="27" t="n">
        <f aca="false">Inputs!B10</f>
        <v>3.7914</v>
      </c>
      <c r="D25" s="11" t="n">
        <f aca="false">B25*C25</f>
        <v>114999994.1028</v>
      </c>
      <c r="E25" s="3" t="s">
        <v>78</v>
      </c>
      <c r="F25" s="11" t="n">
        <f aca="false">N57</f>
        <v>146122122.120311</v>
      </c>
      <c r="G25" s="24" t="n">
        <f aca="false">IF(B25&gt;0,F25/B25,0)</f>
        <v>4.81745601927346</v>
      </c>
    </row>
    <row r="26" customFormat="false" ht="15" hidden="false" customHeight="false" outlineLevel="0" collapsed="false">
      <c r="A26" s="2" t="s">
        <v>87</v>
      </c>
      <c r="B26" s="25" t="n">
        <f aca="false">Inputs!C11</f>
        <v>22663933</v>
      </c>
      <c r="C26" s="27" t="n">
        <f aca="false">Inputs!B11</f>
        <v>5.9566</v>
      </c>
      <c r="D26" s="11" t="n">
        <f aca="false">B26*C26</f>
        <v>134999983.3078</v>
      </c>
      <c r="E26" s="3" t="s">
        <v>78</v>
      </c>
      <c r="F26" s="11" t="n">
        <f aca="false">N58</f>
        <v>134999983.3078</v>
      </c>
      <c r="G26" s="24" t="n">
        <f aca="false">IF(B26&gt;0,F26/B26,0)</f>
        <v>5.9566</v>
      </c>
      <c r="H26" s="2" t="s">
        <v>88</v>
      </c>
    </row>
    <row r="27" customFormat="false" ht="15" hidden="false" customHeight="false" outlineLevel="0" collapsed="false">
      <c r="A27" s="2" t="s">
        <v>89</v>
      </c>
      <c r="B27" s="25" t="n">
        <f aca="false">Inputs!C12</f>
        <v>0</v>
      </c>
      <c r="C27" s="27" t="n">
        <f aca="false">Inputs!B12</f>
        <v>9.1456</v>
      </c>
      <c r="D27" s="11" t="n">
        <f aca="false">B27*C27</f>
        <v>0</v>
      </c>
      <c r="E27" s="3" t="s">
        <v>78</v>
      </c>
      <c r="F27" s="11" t="n">
        <f aca="false">N59</f>
        <v>0</v>
      </c>
      <c r="G27" s="24" t="n">
        <f aca="false">IF(B27&gt;0,F27/B27,0)</f>
        <v>0</v>
      </c>
    </row>
    <row r="28" customFormat="false" ht="15" hidden="false" customHeight="false" outlineLevel="0" collapsed="false">
      <c r="A28" s="2" t="s">
        <v>90</v>
      </c>
      <c r="D28" s="13" t="n">
        <f aca="false">SUM(D16:D27)</f>
        <v>314803880.06674</v>
      </c>
      <c r="F28" s="13" t="n">
        <f aca="false">SUM(F16:F27)</f>
        <v>663701696.426656</v>
      </c>
      <c r="G28" s="3" t="s">
        <v>91</v>
      </c>
      <c r="H28" s="11" t="n">
        <f aca="false">F28-C4</f>
        <v>0</v>
      </c>
    </row>
    <row r="30" customFormat="false" ht="15" hidden="false" customHeight="false" outlineLevel="0" collapsed="false">
      <c r="A30" s="28" t="s">
        <v>92</v>
      </c>
    </row>
    <row r="31" customFormat="false" ht="26.85" hidden="false" customHeight="false" outlineLevel="0" collapsed="false">
      <c r="A31" s="4" t="s">
        <v>93</v>
      </c>
      <c r="B31" s="4" t="s">
        <v>94</v>
      </c>
      <c r="C31" s="4" t="s">
        <v>95</v>
      </c>
      <c r="D31" s="4" t="s">
        <v>96</v>
      </c>
      <c r="E31" s="4" t="s">
        <v>97</v>
      </c>
      <c r="F31" s="4" t="s">
        <v>98</v>
      </c>
      <c r="G31" s="4" t="s">
        <v>99</v>
      </c>
      <c r="H31" s="4" t="s">
        <v>100</v>
      </c>
      <c r="I31" s="4" t="s">
        <v>101</v>
      </c>
    </row>
    <row r="32" customFormat="false" ht="15" hidden="false" customHeight="false" outlineLevel="0" collapsed="false">
      <c r="A32" s="3" t="s">
        <v>102</v>
      </c>
      <c r="E32" s="11" t="n">
        <v>0</v>
      </c>
      <c r="F32" s="11" t="n">
        <f aca="false">D28</f>
        <v>314803880.06674</v>
      </c>
      <c r="G32" s="11" t="n">
        <f aca="false">$C$4</f>
        <v>663701696.426656</v>
      </c>
      <c r="H32" s="11" t="n">
        <f aca="false">IF(F32&lt;=0,$C$4,$C$4*NORMSDIST((LN($C$4/F32)+($C$7+$C$6^2/2)*$C$5)/($C$6*SQRT($C$5)))-F32*EXP(-$C$7*$C$5)*NORMSDIST((LN($C$4/F32)+($C$7-$C$6^2/2)*$C$5)/($C$6*SQRT($C$5))))</f>
        <v>415669248.097178</v>
      </c>
      <c r="I32" s="13" t="n">
        <f aca="false">G32-H32</f>
        <v>248032448.329478</v>
      </c>
    </row>
    <row r="33" customFormat="false" ht="15" hidden="false" customHeight="false" outlineLevel="0" collapsed="false">
      <c r="A33" s="3" t="s">
        <v>103</v>
      </c>
      <c r="B33" s="26" t="n">
        <f aca="false">0</f>
        <v>0</v>
      </c>
      <c r="C33" s="26" t="n">
        <f aca="false">C18</f>
        <v>0.2729</v>
      </c>
      <c r="D33" s="14" t="n">
        <f aca="false">SUMPRODUCT(($C$16:$C$27&lt;=B33+0.000000001)*($E$16:$E$27&lt;&gt;"")*$B$16:$B$27)</f>
        <v>22425112</v>
      </c>
      <c r="E33" s="11" t="n">
        <f aca="false">F32</f>
        <v>314803880.06674</v>
      </c>
      <c r="F33" s="11" t="n">
        <f aca="false">E33+(C33-B33)*D33</f>
        <v>320923693.13154</v>
      </c>
      <c r="G33" s="11" t="n">
        <f aca="false">H32</f>
        <v>415669248.097178</v>
      </c>
      <c r="H33" s="11" t="n">
        <f aca="false">IF(F33&lt;=0,$C$4,$C$4*NORMSDIST((LN($C$4/F33)+($C$7+$C$6^2/2)*$C$5)/($C$6*SQRT($C$5)))-F33*EXP(-$C$7*$C$5)*NORMSDIST((LN($C$4/F33)+($C$7-$C$6^2/2)*$C$5)/($C$6*SQRT($C$5))))</f>
        <v>412132608.506571</v>
      </c>
      <c r="I33" s="13" t="n">
        <f aca="false">G33-H33</f>
        <v>3536639.59060663</v>
      </c>
    </row>
    <row r="34" customFormat="false" ht="15" hidden="false" customHeight="false" outlineLevel="0" collapsed="false">
      <c r="A34" s="3" t="s">
        <v>104</v>
      </c>
      <c r="B34" s="26" t="n">
        <f aca="false">C18</f>
        <v>0.2729</v>
      </c>
      <c r="C34" s="26" t="n">
        <f aca="false">C19</f>
        <v>0.2961</v>
      </c>
      <c r="D34" s="14" t="n">
        <f aca="false">SUMPRODUCT(($C$16:$C$27&lt;=B34+0.000000001)*($E$16:$E$27&lt;&gt;"")*$B$16:$B$27)</f>
        <v>28871434</v>
      </c>
      <c r="E34" s="11" t="n">
        <f aca="false">F33</f>
        <v>320923693.13154</v>
      </c>
      <c r="F34" s="11" t="n">
        <f aca="false">E34+(C34-B34)*D34</f>
        <v>321593510.40034</v>
      </c>
      <c r="G34" s="11" t="n">
        <f aca="false">H33</f>
        <v>412132608.506571</v>
      </c>
      <c r="H34" s="11" t="n">
        <f aca="false">IF(F34&lt;=0,$C$4,$C$4*NORMSDIST((LN($C$4/F34)+($C$7+$C$6^2/2)*$C$5)/($C$6*SQRT($C$5)))-F34*EXP(-$C$7*$C$5)*NORMSDIST((LN($C$4/F34)+($C$7-$C$6^2/2)*$C$5)/($C$6*SQRT($C$5))))</f>
        <v>411748101.287913</v>
      </c>
      <c r="I34" s="13" t="n">
        <f aca="false">G34-H34</f>
        <v>384507.218658328</v>
      </c>
    </row>
    <row r="35" customFormat="false" ht="15" hidden="false" customHeight="false" outlineLevel="0" collapsed="false">
      <c r="A35" s="3" t="s">
        <v>105</v>
      </c>
      <c r="B35" s="26" t="n">
        <f aca="false">C19</f>
        <v>0.2961</v>
      </c>
      <c r="C35" s="26" t="n">
        <f aca="false">C20</f>
        <v>0.42</v>
      </c>
      <c r="D35" s="14" t="n">
        <f aca="false">SUMPRODUCT(($C$16:$C$27&lt;=B35+0.000000001)*($E$16:$E$27&lt;&gt;"")*$B$16:$B$27)</f>
        <v>37515099</v>
      </c>
      <c r="E35" s="11" t="n">
        <f aca="false">F34</f>
        <v>321593510.40034</v>
      </c>
      <c r="F35" s="11" t="n">
        <f aca="false">E35+(C35-B35)*D35</f>
        <v>326241631.16644</v>
      </c>
      <c r="G35" s="11" t="n">
        <f aca="false">H34</f>
        <v>411748101.287913</v>
      </c>
      <c r="H35" s="11" t="n">
        <f aca="false">IF(F35&lt;=0,$C$4,$C$4*NORMSDIST((LN($C$4/F35)+($C$7+$C$6^2/2)*$C$5)/($C$6*SQRT($C$5)))-F35*EXP(-$C$7*$C$5)*NORMSDIST((LN($C$4/F35)+($C$7-$C$6^2/2)*$C$5)/($C$6*SQRT($C$5))))</f>
        <v>409093758.281549</v>
      </c>
      <c r="I35" s="13" t="n">
        <f aca="false">G35-H35</f>
        <v>2654343.00636345</v>
      </c>
    </row>
    <row r="36" customFormat="false" ht="15" hidden="false" customHeight="false" outlineLevel="0" collapsed="false">
      <c r="A36" s="3" t="s">
        <v>106</v>
      </c>
      <c r="B36" s="26" t="n">
        <f aca="false">C20</f>
        <v>0.42</v>
      </c>
      <c r="C36" s="26" t="n">
        <f aca="false">C21</f>
        <v>0.49764</v>
      </c>
      <c r="D36" s="14" t="n">
        <f aca="false">SUMPRODUCT(($C$16:$C$27&lt;=B36+0.000000001)*($E$16:$E$27&lt;&gt;"")*$B$16:$B$27)</f>
        <v>37771349</v>
      </c>
      <c r="E36" s="11" t="n">
        <f aca="false">F35</f>
        <v>326241631.16644</v>
      </c>
      <c r="F36" s="11" t="n">
        <f aca="false">E36+(C36-B36)*D36</f>
        <v>329174198.7028</v>
      </c>
      <c r="G36" s="11" t="n">
        <f aca="false">H35</f>
        <v>409093758.281549</v>
      </c>
      <c r="H36" s="11" t="n">
        <f aca="false">IF(F36&lt;=0,$C$4,$C$4*NORMSDIST((LN($C$4/F36)+($C$7+$C$6^2/2)*$C$5)/($C$6*SQRT($C$5)))-F36*EXP(-$C$7*$C$5)*NORMSDIST((LN($C$4/F36)+($C$7-$C$6^2/2)*$C$5)/($C$6*SQRT($C$5))))</f>
        <v>407431517.41079</v>
      </c>
      <c r="I36" s="13" t="n">
        <f aca="false">G36-H36</f>
        <v>1662240.87075889</v>
      </c>
    </row>
    <row r="37" customFormat="false" ht="15" hidden="false" customHeight="false" outlineLevel="0" collapsed="false">
      <c r="A37" s="3" t="s">
        <v>107</v>
      </c>
      <c r="B37" s="26" t="n">
        <f aca="false">C21</f>
        <v>0.49764</v>
      </c>
      <c r="C37" s="26" t="n">
        <f aca="false">C22</f>
        <v>0.8805</v>
      </c>
      <c r="D37" s="14" t="n">
        <f aca="false">SUMPRODUCT(($C$16:$C$27&lt;=B37+0.000000001)*($E$16:$E$27&lt;&gt;"")*$B$16:$B$27)</f>
        <v>48130895</v>
      </c>
      <c r="E37" s="11" t="n">
        <f aca="false">F36</f>
        <v>329174198.7028</v>
      </c>
      <c r="F37" s="11" t="n">
        <f aca="false">E37+(C37-B37)*D37</f>
        <v>347601593.1625</v>
      </c>
      <c r="G37" s="11" t="n">
        <f aca="false">H36</f>
        <v>407431517.41079</v>
      </c>
      <c r="H37" s="11" t="n">
        <f aca="false">IF(F37&lt;=0,$C$4,$C$4*NORMSDIST((LN($C$4/F37)+($C$7+$C$6^2/2)*$C$5)/($C$6*SQRT($C$5)))-F37*EXP(-$C$7*$C$5)*NORMSDIST((LN($C$4/F37)+($C$7-$C$6^2/2)*$C$5)/($C$6*SQRT($C$5))))</f>
        <v>397202065.487357</v>
      </c>
      <c r="I37" s="13" t="n">
        <f aca="false">G37-H37</f>
        <v>10229451.9234331</v>
      </c>
    </row>
    <row r="38" customFormat="false" ht="15" hidden="false" customHeight="false" outlineLevel="0" collapsed="false">
      <c r="A38" s="3" t="s">
        <v>108</v>
      </c>
      <c r="B38" s="26" t="n">
        <f aca="false">C22</f>
        <v>0.8805</v>
      </c>
      <c r="C38" s="26" t="n">
        <f aca="false">C23</f>
        <v>1.5</v>
      </c>
      <c r="D38" s="14" t="n">
        <f aca="false">SUMPRODUCT(($C$16:$C$27&lt;=B38+0.000000001)*($E$16:$E$27&lt;&gt;"")*$B$16:$B$27)</f>
        <v>62327371</v>
      </c>
      <c r="E38" s="11" t="n">
        <f aca="false">F37</f>
        <v>347601593.1625</v>
      </c>
      <c r="F38" s="11" t="n">
        <f aca="false">E38+(C38-B38)*D38</f>
        <v>386213399.497</v>
      </c>
      <c r="G38" s="11" t="n">
        <f aca="false">H37</f>
        <v>397202065.487357</v>
      </c>
      <c r="H38" s="11" t="n">
        <f aca="false">IF(F38&lt;=0,$C$4,$C$4*NORMSDIST((LN($C$4/F38)+($C$7+$C$6^2/2)*$C$5)/($C$6*SQRT($C$5)))-F38*EXP(-$C$7*$C$5)*NORMSDIST((LN($C$4/F38)+($C$7-$C$6^2/2)*$C$5)/($C$6*SQRT($C$5))))</f>
        <v>376919137.221898</v>
      </c>
      <c r="I38" s="13" t="n">
        <f aca="false">G38-H38</f>
        <v>20282928.2654598</v>
      </c>
    </row>
    <row r="39" customFormat="false" ht="15" hidden="false" customHeight="false" outlineLevel="0" collapsed="false">
      <c r="A39" s="3" t="s">
        <v>109</v>
      </c>
      <c r="B39" s="26" t="n">
        <f aca="false">C23</f>
        <v>1.5</v>
      </c>
      <c r="C39" s="26" t="n">
        <f aca="false">C24</f>
        <v>1.7032</v>
      </c>
      <c r="D39" s="14" t="n">
        <f aca="false">SUMPRODUCT(($C$16:$C$27&lt;=B39+0.000000001)*($E$16:$E$27&lt;&gt;"")*$B$16:$B$27)</f>
        <v>81373122</v>
      </c>
      <c r="E39" s="11" t="n">
        <f aca="false">F38</f>
        <v>386213399.497</v>
      </c>
      <c r="F39" s="11" t="n">
        <f aca="false">E39+(C39-B39)*D39</f>
        <v>402748417.8874</v>
      </c>
      <c r="G39" s="11" t="n">
        <f aca="false">H38</f>
        <v>376919137.221898</v>
      </c>
      <c r="H39" s="11" t="n">
        <f aca="false">IF(F39&lt;=0,$C$4,$C$4*NORMSDIST((LN($C$4/F39)+($C$7+$C$6^2/2)*$C$5)/($C$6*SQRT($C$5)))-F39*EXP(-$C$7*$C$5)*NORMSDIST((LN($C$4/F39)+($C$7-$C$6^2/2)*$C$5)/($C$6*SQRT($C$5))))</f>
        <v>368683012.296276</v>
      </c>
      <c r="I39" s="13" t="n">
        <f aca="false">G39-H39</f>
        <v>8236124.92562151</v>
      </c>
    </row>
    <row r="40" customFormat="false" ht="15" hidden="false" customHeight="false" outlineLevel="0" collapsed="false">
      <c r="A40" s="3" t="s">
        <v>110</v>
      </c>
      <c r="B40" s="26" t="n">
        <f aca="false">C24</f>
        <v>1.7032</v>
      </c>
      <c r="C40" s="26" t="n">
        <f aca="false">C25</f>
        <v>3.7914</v>
      </c>
      <c r="D40" s="14" t="n">
        <f aca="false">SUMPRODUCT(($C$16:$C$27&lt;=B40+0.000000001)*($E$16:$E$27&lt;&gt;"")*$B$16:$B$27)</f>
        <v>106519899</v>
      </c>
      <c r="E40" s="11" t="n">
        <f aca="false">F39</f>
        <v>402748417.8874</v>
      </c>
      <c r="F40" s="11" t="n">
        <f aca="false">E40+(C40-B40)*D40</f>
        <v>625183270.9792</v>
      </c>
      <c r="G40" s="11" t="n">
        <f aca="false">H39</f>
        <v>368683012.296276</v>
      </c>
      <c r="H40" s="11" t="n">
        <f aca="false">IF(F40&lt;=0,$C$4,$C$4*NORMSDIST((LN($C$4/F40)+($C$7+$C$6^2/2)*$C$5)/($C$6*SQRT($C$5)))-F40*EXP(-$C$7*$C$5)*NORMSDIST((LN($C$4/F40)+($C$7-$C$6^2/2)*$C$5)/($C$6*SQRT($C$5))))</f>
        <v>279104291.600209</v>
      </c>
      <c r="I40" s="13" t="n">
        <f aca="false">G40-H40</f>
        <v>89578720.6960672</v>
      </c>
    </row>
    <row r="41" customFormat="false" ht="15" hidden="false" customHeight="false" outlineLevel="0" collapsed="false">
      <c r="A41" s="3" t="s">
        <v>111</v>
      </c>
      <c r="B41" s="26" t="n">
        <f aca="false">C25</f>
        <v>3.7914</v>
      </c>
      <c r="C41" s="26" t="n">
        <f aca="false">C26</f>
        <v>5.9566</v>
      </c>
      <c r="D41" s="14" t="n">
        <f aca="false">SUMPRODUCT(($C$16:$C$27&lt;=B41+0.000000001)*($E$16:$E$27&lt;&gt;"")*$B$16:$B$27)</f>
        <v>136851701</v>
      </c>
      <c r="E41" s="11" t="n">
        <f aca="false">F40</f>
        <v>625183270.9792</v>
      </c>
      <c r="F41" s="11" t="n">
        <f aca="false">E41+(C41-B41)*D41</f>
        <v>921494573.9844</v>
      </c>
      <c r="G41" s="11" t="n">
        <f aca="false">H40</f>
        <v>279104291.600209</v>
      </c>
      <c r="H41" s="11" t="n">
        <f aca="false">IF(F41&lt;=0,$C$4,$C$4*NORMSDIST((LN($C$4/F41)+($C$7+$C$6^2/2)*$C$5)/($C$6*SQRT($C$5)))-F41*EXP(-$C$7*$C$5)*NORMSDIST((LN($C$4/F41)+($C$7-$C$6^2/2)*$C$5)/($C$6*SQRT($C$5))))</f>
        <v>201535846.378765</v>
      </c>
      <c r="I41" s="13" t="n">
        <f aca="false">G41-H41</f>
        <v>77568445.221444</v>
      </c>
    </row>
    <row r="42" customFormat="false" ht="15" hidden="false" customHeight="false" outlineLevel="0" collapsed="false">
      <c r="A42" s="3" t="s">
        <v>112</v>
      </c>
      <c r="B42" s="26" t="n">
        <f aca="false">C26</f>
        <v>5.9566</v>
      </c>
      <c r="C42" s="26" t="n">
        <f aca="false">C27</f>
        <v>9.1456</v>
      </c>
      <c r="D42" s="14" t="n">
        <f aca="false">SUMPRODUCT(($C$16:$C$27&lt;=B42+0.000000001)*($E$16:$E$27&lt;&gt;"")*$B$16:$B$27)</f>
        <v>159515634</v>
      </c>
      <c r="E42" s="11" t="n">
        <f aca="false">F41</f>
        <v>921494573.9844</v>
      </c>
      <c r="F42" s="11" t="n">
        <f aca="false">E42+(C42-B42)*D42</f>
        <v>1430189930.8104</v>
      </c>
      <c r="G42" s="11" t="n">
        <f aca="false">H41</f>
        <v>201535846.378765</v>
      </c>
      <c r="H42" s="11" t="n">
        <f aca="false">IF(F42&lt;=0,$C$4,$C$4*NORMSDIST((LN($C$4/F42)+($C$7+$C$6^2/2)*$C$5)/($C$6*SQRT($C$5)))-F42*EXP(-$C$7*$C$5)*NORMSDIST((LN($C$4/F42)+($C$7-$C$6^2/2)*$C$5)/($C$6*SQRT($C$5))))</f>
        <v>125456067.694108</v>
      </c>
      <c r="I42" s="13" t="n">
        <f aca="false">G42-H42</f>
        <v>76079778.6846567</v>
      </c>
    </row>
    <row r="43" customFormat="false" ht="15" hidden="false" customHeight="false" outlineLevel="0" collapsed="false">
      <c r="A43" s="3" t="s">
        <v>113</v>
      </c>
      <c r="B43" s="26" t="n">
        <f aca="false">C27</f>
        <v>9.1456</v>
      </c>
      <c r="C43" s="3" t="s">
        <v>114</v>
      </c>
      <c r="D43" s="14" t="n">
        <f aca="false">SUMPRODUCT(($C$16:$C$27&lt;=B43+0.000000001)*($E$16:$E$27&lt;&gt;"")*$B$16:$B$27)</f>
        <v>159515634</v>
      </c>
      <c r="E43" s="11" t="n">
        <f aca="false">F42</f>
        <v>1430189930.8104</v>
      </c>
      <c r="F43" s="3" t="s">
        <v>114</v>
      </c>
      <c r="G43" s="11" t="n">
        <f aca="false">H42</f>
        <v>125456067.694108</v>
      </c>
      <c r="H43" s="11" t="n">
        <v>0</v>
      </c>
      <c r="I43" s="13" t="n">
        <f aca="false">G43-H43</f>
        <v>125456067.694108</v>
      </c>
    </row>
    <row r="44" customFormat="false" ht="15" hidden="false" customHeight="false" outlineLevel="0" collapsed="false">
      <c r="A44" s="2" t="s">
        <v>115</v>
      </c>
      <c r="I44" s="13" t="n">
        <f aca="false">SUM(I32:I43)</f>
        <v>663701696.426656</v>
      </c>
    </row>
    <row r="46" customFormat="false" ht="15" hidden="false" customHeight="false" outlineLevel="0" collapsed="false">
      <c r="A46" s="28" t="s">
        <v>116</v>
      </c>
    </row>
    <row r="47" customFormat="false" ht="26.85" hidden="false" customHeight="false" outlineLevel="0" collapsed="false">
      <c r="A47" s="4" t="s">
        <v>66</v>
      </c>
      <c r="B47" s="4" t="s">
        <v>102</v>
      </c>
      <c r="C47" s="4" t="s">
        <v>103</v>
      </c>
      <c r="D47" s="4" t="s">
        <v>104</v>
      </c>
      <c r="E47" s="4" t="s">
        <v>105</v>
      </c>
      <c r="F47" s="4" t="s">
        <v>106</v>
      </c>
      <c r="G47" s="4" t="s">
        <v>107</v>
      </c>
      <c r="H47" s="4" t="s">
        <v>108</v>
      </c>
      <c r="I47" s="4" t="s">
        <v>109</v>
      </c>
      <c r="J47" s="4" t="s">
        <v>110</v>
      </c>
      <c r="K47" s="4" t="s">
        <v>111</v>
      </c>
      <c r="L47" s="4" t="s">
        <v>112</v>
      </c>
      <c r="M47" s="4" t="s">
        <v>113</v>
      </c>
      <c r="N47" s="4" t="s">
        <v>90</v>
      </c>
    </row>
    <row r="48" customFormat="false" ht="15" hidden="false" customHeight="false" outlineLevel="0" collapsed="false">
      <c r="A48" s="2" t="s">
        <v>74</v>
      </c>
      <c r="B48" s="11" t="n">
        <f aca="false">IF($D$28&gt;0,$I$32*$D$16/$D$28,0)</f>
        <v>0</v>
      </c>
      <c r="C48" s="11" t="n">
        <f aca="false">IF(AND($C$16&lt;=$B$33+0.000000001,$D$33&gt;0),$I$33*$B$16/$D$33,0)</f>
        <v>3536639.59060663</v>
      </c>
      <c r="D48" s="11" t="n">
        <f aca="false">IF(AND($C$16&lt;=$B$34+0.000000001,$D$34&gt;0),$I$34*$B$16/$D$34,0)</f>
        <v>298655.669241143</v>
      </c>
      <c r="E48" s="11" t="n">
        <f aca="false">IF(AND($C$16&lt;=$B$35+0.000000001,$D$35&gt;0),$I$35*$B$16/$D$35,0)</f>
        <v>1586666.19016831</v>
      </c>
      <c r="F48" s="11" t="n">
        <f aca="false">IF(AND($C$16&lt;=$B$36+0.000000001,$D$36&gt;0),$I$36*$B$16/$D$36,0)</f>
        <v>986883.939404591</v>
      </c>
      <c r="G48" s="11" t="n">
        <f aca="false">IF(AND($C$16&lt;=$B$37+0.000000001,$D$37&gt;0),$I$37*$B$16/$D$37,0)</f>
        <v>4766098.88682938</v>
      </c>
      <c r="H48" s="11" t="n">
        <f aca="false">IF(AND($C$16&lt;=$B$38+0.000000001,$D$38&gt;0),$I$38*$B$16/$D$38,0)</f>
        <v>7297707.74449802</v>
      </c>
      <c r="I48" s="11" t="n">
        <f aca="false">IF(AND($C$16&lt;=$B$39+0.000000001,$D$39&gt;0),$I$39*$B$16/$D$39,0)</f>
        <v>2269742.38376959</v>
      </c>
      <c r="J48" s="11" t="n">
        <f aca="false">IF(AND($C$16&lt;=$B$40+0.000000001,$D$40&gt;0),$I$40*$B$16/$D$40,0)</f>
        <v>18858568.8053086</v>
      </c>
      <c r="K48" s="11" t="n">
        <f aca="false">IF(AND($C$16&lt;=$B$41+0.000000001,$D$41&gt;0),$I$41*$B$16/$D$41,0)</f>
        <v>12710701.1388682</v>
      </c>
      <c r="L48" s="11" t="n">
        <f aca="false">IF(AND($C$16&lt;=$B$42+0.000000001,$D$42&gt;0),$I$42*$B$16/$D$42,0)</f>
        <v>10695488.05441</v>
      </c>
      <c r="M48" s="11" t="n">
        <f aca="false">IF(AND($C$16&lt;=$B$43+0.000000001,$D$43&gt;0),$I$43*$B$16/$D$43,0)</f>
        <v>17636931.8703893</v>
      </c>
      <c r="N48" s="13" t="n">
        <f aca="false">SUM(B48:M48)</f>
        <v>80644084.2734938</v>
      </c>
    </row>
    <row r="49" customFormat="false" ht="15" hidden="false" customHeight="false" outlineLevel="0" collapsed="false">
      <c r="A49" s="2" t="s">
        <v>43</v>
      </c>
      <c r="B49" s="11" t="n">
        <f aca="false">IF($D$28&gt;0,$I$32*$D$17/$D$28,0)</f>
        <v>0</v>
      </c>
      <c r="C49" s="11" t="n">
        <f aca="false">IF(AND($C$17&lt;=$B$33+0.000000001,$D$33&gt;0),$I$33*$B$17/$D$33,0)</f>
        <v>0</v>
      </c>
      <c r="D49" s="11" t="n">
        <f aca="false">IF(AND($C$17&lt;=$B$34+0.000000001,$D$34&gt;0),$I$34*$B$17/$D$34,0)</f>
        <v>0</v>
      </c>
      <c r="E49" s="11" t="n">
        <f aca="false">IF(AND($C$17&lt;=$B$35+0.000000001,$D$35&gt;0),$I$35*$B$17/$D$35,0)</f>
        <v>0</v>
      </c>
      <c r="F49" s="11" t="n">
        <f aca="false">IF(AND($C$17&lt;=$B$36+0.000000001,$D$36&gt;0),$I$36*$B$17/$D$36,0)</f>
        <v>0</v>
      </c>
      <c r="G49" s="11" t="n">
        <f aca="false">IF(AND($C$17&lt;=$B$37+0.000000001,$D$37&gt;0),$I$37*$B$17/$D$37,0)</f>
        <v>0</v>
      </c>
      <c r="H49" s="11" t="n">
        <f aca="false">IF(AND($C$17&lt;=$B$38+0.000000001,$D$38&gt;0),$I$38*$B$17/$D$38,0)</f>
        <v>0</v>
      </c>
      <c r="I49" s="11" t="n">
        <f aca="false">IF(AND($C$17&lt;=$B$39+0.000000001,$D$39&gt;0),$I$39*$B$17/$D$39,0)</f>
        <v>0</v>
      </c>
      <c r="J49" s="11" t="n">
        <f aca="false">IF(AND($C$17&lt;=$B$40+0.000000001,$D$40&gt;0),$I$40*$B$17/$D$40,0)</f>
        <v>0</v>
      </c>
      <c r="K49" s="11" t="n">
        <f aca="false">IF(AND($C$17&lt;=$B$41+0.000000001,$D$41&gt;0),$I$41*$B$17/$D$41,0)</f>
        <v>0</v>
      </c>
      <c r="L49" s="11" t="n">
        <f aca="false">IF(AND($C$17&lt;=$B$42+0.000000001,$D$42&gt;0),$I$42*$B$17/$D$42,0)</f>
        <v>0</v>
      </c>
      <c r="M49" s="11" t="n">
        <f aca="false">IF(AND($C$17&lt;=$B$43+0.000000001,$D$43&gt;0),$I$43*$B$17/$D$43,0)</f>
        <v>0</v>
      </c>
      <c r="N49" s="13" t="n">
        <f aca="false">SUM(B49:M49)</f>
        <v>0</v>
      </c>
    </row>
    <row r="50" customFormat="false" ht="15" hidden="false" customHeight="false" outlineLevel="0" collapsed="false">
      <c r="A50" s="2" t="s">
        <v>77</v>
      </c>
      <c r="B50" s="11" t="n">
        <f aca="false">IF($D$28&gt;0,$I$32*$D$18/$D$28,0)</f>
        <v>1386066.14045686</v>
      </c>
      <c r="C50" s="11" t="n">
        <f aca="false">IF(AND($C$18&lt;=$B$33+0.000000001,$D$33&gt;0),$I$33*$B$18/$D$33,0)</f>
        <v>0</v>
      </c>
      <c r="D50" s="11" t="n">
        <f aca="false">IF(AND($C$18&lt;=$B$34+0.000000001,$D$34&gt;0),$I$34*$B$18/$D$34,0)</f>
        <v>85851.5494171848</v>
      </c>
      <c r="E50" s="11" t="n">
        <f aca="false">IF(AND($C$18&lt;=$B$35+0.000000001,$D$35&gt;0),$I$35*$B$18/$D$35,0)</f>
        <v>456103.013814967</v>
      </c>
      <c r="F50" s="11" t="n">
        <f aca="false">IF(AND($C$18&lt;=$B$36+0.000000001,$D$36&gt;0),$I$36*$B$18/$D$36,0)</f>
        <v>283689.626612812</v>
      </c>
      <c r="G50" s="11" t="n">
        <f aca="false">IF(AND($C$18&lt;=$B$37+0.000000001,$D$37&gt;0),$I$37*$B$18/$D$37,0)</f>
        <v>1370062.63818632</v>
      </c>
      <c r="H50" s="11" t="n">
        <f aca="false">IF(AND($C$18&lt;=$B$38+0.000000001,$D$38&gt;0),$I$38*$B$18/$D$38,0)</f>
        <v>2097798.84189332</v>
      </c>
      <c r="I50" s="11" t="n">
        <f aca="false">IF(AND($C$18&lt;=$B$39+0.000000001,$D$39&gt;0),$I$39*$B$18/$D$39,0)</f>
        <v>652460.075241826</v>
      </c>
      <c r="J50" s="11" t="n">
        <f aca="false">IF(AND($C$18&lt;=$B$40+0.000000001,$D$40&gt;0),$I$40*$B$18/$D$40,0)</f>
        <v>5421083.60387117</v>
      </c>
      <c r="K50" s="11" t="n">
        <f aca="false">IF(AND($C$18&lt;=$B$41+0.000000001,$D$41&gt;0),$I$41*$B$18/$D$41,0)</f>
        <v>3653817.75515373</v>
      </c>
      <c r="L50" s="11" t="n">
        <f aca="false">IF(AND($C$18&lt;=$B$42+0.000000001,$D$42&gt;0),$I$42*$B$18/$D$42,0)</f>
        <v>3074524.66439768</v>
      </c>
      <c r="M50" s="11" t="n">
        <f aca="false">IF(AND($C$18&lt;=$B$43+0.000000001,$D$43&gt;0),$I$43*$B$18/$D$43,0)</f>
        <v>5069911.88844861</v>
      </c>
      <c r="N50" s="13" t="n">
        <f aca="false">SUM(B50:M50)</f>
        <v>23551369.7974945</v>
      </c>
    </row>
    <row r="51" customFormat="false" ht="15" hidden="false" customHeight="false" outlineLevel="0" collapsed="false">
      <c r="A51" s="2" t="s">
        <v>79</v>
      </c>
      <c r="B51" s="11" t="n">
        <f aca="false">IF($D$28&gt;0,$I$32*$D$19/$D$28,0)</f>
        <v>2016530.32669626</v>
      </c>
      <c r="C51" s="11" t="n">
        <f aca="false">IF(AND($C$19&lt;=$B$33+0.000000001,$D$33&gt;0),$I$33*$B$19/$D$33,0)</f>
        <v>0</v>
      </c>
      <c r="D51" s="11" t="n">
        <f aca="false">IF(AND($C$19&lt;=$B$34+0.000000001,$D$34&gt;0),$I$34*$B$19/$D$34,0)</f>
        <v>0</v>
      </c>
      <c r="E51" s="11" t="n">
        <f aca="false">IF(AND($C$19&lt;=$B$35+0.000000001,$D$35&gt;0),$I$35*$B$19/$D$35,0)</f>
        <v>611573.802380171</v>
      </c>
      <c r="F51" s="11" t="n">
        <f aca="false">IF(AND($C$19&lt;=$B$36+0.000000001,$D$36&gt;0),$I$36*$B$19/$D$36,0)</f>
        <v>380390.259192176</v>
      </c>
      <c r="G51" s="11" t="n">
        <f aca="false">IF(AND($C$19&lt;=$B$37+0.000000001,$D$37&gt;0),$I$37*$B$19/$D$37,0)</f>
        <v>1837072.74838253</v>
      </c>
      <c r="H51" s="11" t="n">
        <f aca="false">IF(AND($C$19&lt;=$B$38+0.000000001,$D$38&gt;0),$I$38*$B$19/$D$38,0)</f>
        <v>2812870.72329211</v>
      </c>
      <c r="I51" s="11" t="n">
        <f aca="false">IF(AND($C$19&lt;=$B$39+0.000000001,$D$39&gt;0),$I$39*$B$19/$D$39,0)</f>
        <v>874862.64512774</v>
      </c>
      <c r="J51" s="11" t="n">
        <f aca="false">IF(AND($C$19&lt;=$B$40+0.000000001,$D$40&gt;0),$I$40*$B$19/$D$40,0)</f>
        <v>7268955.94245139</v>
      </c>
      <c r="K51" s="11" t="n">
        <f aca="false">IF(AND($C$19&lt;=$B$41+0.000000001,$D$41&gt;0),$I$41*$B$19/$D$41,0)</f>
        <v>4899286.23587231</v>
      </c>
      <c r="L51" s="11" t="n">
        <f aca="false">IF(AND($C$19&lt;=$B$42+0.000000001,$D$42&gt;0),$I$42*$B$19/$D$42,0)</f>
        <v>4122530.83747461</v>
      </c>
      <c r="M51" s="11" t="n">
        <f aca="false">IF(AND($C$19&lt;=$B$43+0.000000001,$D$43&gt;0),$I$43*$B$19/$D$43,0)</f>
        <v>6798081.12955996</v>
      </c>
      <c r="N51" s="13" t="n">
        <f aca="false">SUM(B51:M51)</f>
        <v>31622154.6504293</v>
      </c>
    </row>
    <row r="52" customFormat="false" ht="15" hidden="false" customHeight="false" outlineLevel="0" collapsed="false">
      <c r="A52" s="2" t="s">
        <v>49</v>
      </c>
      <c r="B52" s="11" t="n">
        <f aca="false">IF($D$28&gt;0,$I$32*$D$20/$D$28,0)</f>
        <v>0</v>
      </c>
      <c r="C52" s="11" t="n">
        <f aca="false">IF(AND($C$20&lt;=$B$33+0.000000001,$D$33&gt;0),$I$33*$B$20/$D$33,0)</f>
        <v>0</v>
      </c>
      <c r="D52" s="11" t="n">
        <f aca="false">IF(AND($C$20&lt;=$B$34+0.000000001,$D$34&gt;0),$I$34*$B$20/$D$34,0)</f>
        <v>0</v>
      </c>
      <c r="E52" s="11" t="n">
        <f aca="false">IF(AND($C$20&lt;=$B$35+0.000000001,$D$35&gt;0),$I$35*$B$20/$D$35,0)</f>
        <v>0</v>
      </c>
      <c r="F52" s="11" t="n">
        <f aca="false">IF(AND($C$20&lt;=$B$36+0.000000001,$D$36&gt;0),$I$36*$B$20/$D$36,0)</f>
        <v>11277.0455493121</v>
      </c>
      <c r="G52" s="11" t="n">
        <f aca="false">IF(AND($C$20&lt;=$B$37+0.000000001,$D$37&gt;0),$I$37*$B$20/$D$37,0)</f>
        <v>54461.8390200249</v>
      </c>
      <c r="H52" s="11" t="n">
        <f aca="false">IF(AND($C$20&lt;=$B$38+0.000000001,$D$38&gt;0),$I$38*$B$20/$D$38,0)</f>
        <v>83390.3353315523</v>
      </c>
      <c r="I52" s="11" t="n">
        <f aca="false">IF(AND($C$20&lt;=$B$39+0.000000001,$D$39&gt;0),$I$39*$B$20/$D$39,0)</f>
        <v>25936.1686060234</v>
      </c>
      <c r="J52" s="11" t="n">
        <f aca="false">IF(AND($C$20&lt;=$B$40+0.000000001,$D$40&gt;0),$I$40*$B$20/$D$40,0)</f>
        <v>215495.390005648</v>
      </c>
      <c r="K52" s="11" t="n">
        <f aca="false">IF(AND($C$20&lt;=$B$41+0.000000001,$D$41&gt;0),$I$41*$B$20/$D$41,0)</f>
        <v>145244.187268049</v>
      </c>
      <c r="L52" s="11" t="n">
        <f aca="false">IF(AND($C$20&lt;=$B$42+0.000000001,$D$42&gt;0),$I$42*$B$20/$D$42,0)</f>
        <v>122216.50504767</v>
      </c>
      <c r="M52" s="11" t="n">
        <f aca="false">IF(AND($C$20&lt;=$B$43+0.000000001,$D$43&gt;0),$I$43*$B$20/$D$43,0)</f>
        <v>201535.840346628</v>
      </c>
      <c r="N52" s="13" t="n">
        <f aca="false">SUM(B52:M52)</f>
        <v>859557.311174908</v>
      </c>
    </row>
    <row r="53" customFormat="false" ht="15" hidden="false" customHeight="false" outlineLevel="0" collapsed="false">
      <c r="A53" s="2" t="s">
        <v>81</v>
      </c>
      <c r="B53" s="11" t="n">
        <f aca="false">IF($D$28&gt;0,$I$32*$D$21/$D$28,0)</f>
        <v>4061855.11535959</v>
      </c>
      <c r="C53" s="11" t="n">
        <f aca="false">IF(AND($C$21&lt;=$B$33+0.000000001,$D$33&gt;0),$I$33*$B$21/$D$33,0)</f>
        <v>0</v>
      </c>
      <c r="D53" s="11" t="n">
        <f aca="false">IF(AND($C$21&lt;=$B$34+0.000000001,$D$34&gt;0),$I$34*$B$21/$D$34,0)</f>
        <v>0</v>
      </c>
      <c r="E53" s="11" t="n">
        <f aca="false">IF(AND($C$21&lt;=$B$35+0.000000001,$D$35&gt;0),$I$35*$B$21/$D$35,0)</f>
        <v>0</v>
      </c>
      <c r="F53" s="11" t="n">
        <f aca="false">IF(AND($C$21&lt;=$B$36+0.000000001,$D$36&gt;0),$I$36*$B$21/$D$36,0)</f>
        <v>0</v>
      </c>
      <c r="G53" s="11" t="n">
        <f aca="false">IF(AND($C$21&lt;=$B$37+0.000000001,$D$37&gt;0),$I$37*$B$21/$D$37,0)</f>
        <v>2201755.8110148</v>
      </c>
      <c r="H53" s="11" t="n">
        <f aca="false">IF(AND($C$21&lt;=$B$38+0.000000001,$D$38&gt;0),$I$38*$B$21/$D$38,0)</f>
        <v>3371262.49686884</v>
      </c>
      <c r="I53" s="11" t="n">
        <f aca="false">IF(AND($C$21&lt;=$B$39+0.000000001,$D$39&gt;0),$I$39*$B$21/$D$39,0)</f>
        <v>1048534.36775748</v>
      </c>
      <c r="J53" s="11" t="n">
        <f aca="false">IF(AND($C$21&lt;=$B$40+0.000000001,$D$40&gt;0),$I$40*$B$21/$D$40,0)</f>
        <v>8711939.14361541</v>
      </c>
      <c r="K53" s="11" t="n">
        <f aca="false">IF(AND($C$21&lt;=$B$41+0.000000001,$D$41&gt;0),$I$41*$B$21/$D$41,0)</f>
        <v>5871858.88482329</v>
      </c>
      <c r="L53" s="11" t="n">
        <f aca="false">IF(AND($C$21&lt;=$B$42+0.000000001,$D$42&gt;0),$I$42*$B$21/$D$42,0)</f>
        <v>4940907.34049003</v>
      </c>
      <c r="M53" s="11" t="n">
        <f aca="false">IF(AND($C$21&lt;=$B$43+0.000000001,$D$43&gt;0),$I$43*$B$21/$D$43,0)</f>
        <v>8147589.49744215</v>
      </c>
      <c r="N53" s="13" t="n">
        <f aca="false">SUM(B53:M53)</f>
        <v>38355702.6573716</v>
      </c>
    </row>
    <row r="54" customFormat="false" ht="15" hidden="false" customHeight="false" outlineLevel="0" collapsed="false">
      <c r="A54" s="2" t="s">
        <v>82</v>
      </c>
      <c r="B54" s="11" t="n">
        <f aca="false">IF($D$28&gt;0,$I$32*$D$22/$D$28,0)</f>
        <v>9848687.0258132</v>
      </c>
      <c r="C54" s="11" t="n">
        <f aca="false">IF(AND($C$22&lt;=$B$33+0.000000001,$D$33&gt;0),$I$33*$B$22/$D$33,0)</f>
        <v>0</v>
      </c>
      <c r="D54" s="11" t="n">
        <f aca="false">IF(AND($C$22&lt;=$B$34+0.000000001,$D$34&gt;0),$I$34*$B$22/$D$34,0)</f>
        <v>0</v>
      </c>
      <c r="E54" s="11" t="n">
        <f aca="false">IF(AND($C$22&lt;=$B$35+0.000000001,$D$35&gt;0),$I$35*$B$22/$D$35,0)</f>
        <v>0</v>
      </c>
      <c r="F54" s="11" t="n">
        <f aca="false">IF(AND($C$22&lt;=$B$36+0.000000001,$D$36&gt;0),$I$36*$B$22/$D$36,0)</f>
        <v>0</v>
      </c>
      <c r="G54" s="11" t="n">
        <f aca="false">IF(AND($C$22&lt;=$B$37+0.000000001,$D$37&gt;0),$I$37*$B$22/$D$37,0)</f>
        <v>0</v>
      </c>
      <c r="H54" s="11" t="n">
        <f aca="false">IF(AND($C$22&lt;=$B$38+0.000000001,$D$38&gt;0),$I$38*$B$22/$D$38,0)</f>
        <v>4619898.12357594</v>
      </c>
      <c r="I54" s="11" t="n">
        <f aca="false">IF(AND($C$22&lt;=$B$39+0.000000001,$D$39&gt;0),$I$39*$B$22/$D$39,0)</f>
        <v>1436886.61520923</v>
      </c>
      <c r="J54" s="11" t="n">
        <f aca="false">IF(AND($C$22&lt;=$B$40+0.000000001,$D$40&gt;0),$I$40*$B$22/$D$40,0)</f>
        <v>11938634.6627349</v>
      </c>
      <c r="K54" s="11" t="n">
        <f aca="false">IF(AND($C$22&lt;=$B$41+0.000000001,$D$41&gt;0),$I$41*$B$22/$D$41,0)</f>
        <v>8046656.072938</v>
      </c>
      <c r="L54" s="11" t="n">
        <f aca="false">IF(AND($C$22&lt;=$B$42+0.000000001,$D$42&gt;0),$I$42*$B$22/$D$42,0)</f>
        <v>6770902.16863659</v>
      </c>
      <c r="M54" s="11" t="n">
        <f aca="false">IF(AND($C$22&lt;=$B$43+0.000000001,$D$43&gt;0),$I$43*$B$22/$D$43,0)</f>
        <v>11165263.2999834</v>
      </c>
      <c r="N54" s="13" t="n">
        <f aca="false">SUM(B54:M54)</f>
        <v>53826927.9688912</v>
      </c>
    </row>
    <row r="55" customFormat="false" ht="15" hidden="false" customHeight="false" outlineLevel="0" collapsed="false">
      <c r="A55" s="2" t="s">
        <v>83</v>
      </c>
      <c r="B55" s="11" t="n">
        <f aca="false">IF($D$28&gt;0,$I$32*$D$23/$D$28,0)</f>
        <v>0</v>
      </c>
      <c r="C55" s="11" t="n">
        <f aca="false">IF(AND($C$23&lt;=$B$33+0.000000001,$D$33&gt;0),$I$33*$B$23/$D$33,0)</f>
        <v>0</v>
      </c>
      <c r="D55" s="11" t="n">
        <f aca="false">IF(AND($C$23&lt;=$B$34+0.000000001,$D$34&gt;0),$I$34*$B$23/$D$34,0)</f>
        <v>0</v>
      </c>
      <c r="E55" s="11" t="n">
        <f aca="false">IF(AND($C$23&lt;=$B$35+0.000000001,$D$35&gt;0),$I$35*$B$23/$D$35,0)</f>
        <v>0</v>
      </c>
      <c r="F55" s="11" t="n">
        <f aca="false">IF(AND($C$23&lt;=$B$36+0.000000001,$D$36&gt;0),$I$36*$B$23/$D$36,0)</f>
        <v>0</v>
      </c>
      <c r="G55" s="11" t="n">
        <f aca="false">IF(AND($C$23&lt;=$B$37+0.000000001,$D$37&gt;0),$I$37*$B$23/$D$37,0)</f>
        <v>0</v>
      </c>
      <c r="H55" s="11" t="n">
        <f aca="false">IF(AND($C$23&lt;=$B$38+0.000000001,$D$38&gt;0),$I$38*$B$23/$D$38,0)</f>
        <v>0</v>
      </c>
      <c r="I55" s="11" t="n">
        <f aca="false">IF(AND($C$23&lt;=$B$39+0.000000001,$D$39&gt;0),$I$39*$B$23/$D$39,0)</f>
        <v>1927702.66990961</v>
      </c>
      <c r="J55" s="11" t="n">
        <f aca="false">IF(AND($C$23&lt;=$B$40+0.000000001,$D$40&gt;0),$I$40*$B$23/$D$40,0)</f>
        <v>16016669.4232018</v>
      </c>
      <c r="K55" s="11" t="n">
        <f aca="false">IF(AND($C$23&lt;=$B$41+0.000000001,$D$41&gt;0),$I$41*$B$23/$D$41,0)</f>
        <v>10795257.0727986</v>
      </c>
      <c r="L55" s="11" t="n">
        <f aca="false">IF(AND($C$23&lt;=$B$42+0.000000001,$D$42&gt;0),$I$42*$B$23/$D$42,0)</f>
        <v>9083727.31015869</v>
      </c>
      <c r="M55" s="11" t="n">
        <f aca="false">IF(AND($C$23&lt;=$B$43+0.000000001,$D$43&gt;0),$I$43*$B$23/$D$43,0)</f>
        <v>14979127.542703</v>
      </c>
      <c r="N55" s="13" t="n">
        <f aca="false">SUM(B55:M55)</f>
        <v>52802484.0187716</v>
      </c>
    </row>
    <row r="56" customFormat="false" ht="15" hidden="false" customHeight="false" outlineLevel="0" collapsed="false">
      <c r="A56" s="2" t="s">
        <v>85</v>
      </c>
      <c r="B56" s="11" t="n">
        <f aca="false">IF($D$28&gt;0,$I$32*$D$24/$D$28,0)</f>
        <v>33745541.5886904</v>
      </c>
      <c r="C56" s="11" t="n">
        <f aca="false">IF(AND($C$24&lt;=$B$33+0.000000001,$D$33&gt;0),$I$33*$B$24/$D$33,0)</f>
        <v>0</v>
      </c>
      <c r="D56" s="11" t="n">
        <f aca="false">IF(AND($C$24&lt;=$B$34+0.000000001,$D$34&gt;0),$I$34*$B$24/$D$34,0)</f>
        <v>0</v>
      </c>
      <c r="E56" s="11" t="n">
        <f aca="false">IF(AND($C$24&lt;=$B$35+0.000000001,$D$35&gt;0),$I$35*$B$24/$D$35,0)</f>
        <v>0</v>
      </c>
      <c r="F56" s="11" t="n">
        <f aca="false">IF(AND($C$24&lt;=$B$36+0.000000001,$D$36&gt;0),$I$36*$B$24/$D$36,0)</f>
        <v>0</v>
      </c>
      <c r="G56" s="11" t="n">
        <f aca="false">IF(AND($C$24&lt;=$B$37+0.000000001,$D$37&gt;0),$I$37*$B$24/$D$37,0)</f>
        <v>0</v>
      </c>
      <c r="H56" s="11" t="n">
        <f aca="false">IF(AND($C$24&lt;=$B$38+0.000000001,$D$38&gt;0),$I$38*$B$24/$D$38,0)</f>
        <v>0</v>
      </c>
      <c r="I56" s="11" t="n">
        <f aca="false">IF(AND($C$24&lt;=$B$39+0.000000001,$D$39&gt;0),$I$39*$B$24/$D$39,0)</f>
        <v>0</v>
      </c>
      <c r="J56" s="11" t="n">
        <f aca="false">IF(AND($C$24&lt;=$B$40+0.000000001,$D$40&gt;0),$I$40*$B$24/$D$40,0)</f>
        <v>21147373.7248783</v>
      </c>
      <c r="K56" s="11" t="n">
        <f aca="false">IF(AND($C$24&lt;=$B$41+0.000000001,$D$41&gt;0),$I$41*$B$24/$D$41,0)</f>
        <v>14253358.7815644</v>
      </c>
      <c r="L56" s="11" t="n">
        <f aca="false">IF(AND($C$24&lt;=$B$42+0.000000001,$D$42&gt;0),$I$42*$B$24/$D$42,0)</f>
        <v>11993565.6513293</v>
      </c>
      <c r="M56" s="11" t="n">
        <f aca="false">IF(AND($C$24&lt;=$B$43+0.000000001,$D$43&gt;0),$I$43*$B$24/$D$43,0)</f>
        <v>19777470.5744557</v>
      </c>
      <c r="N56" s="13" t="n">
        <f aca="false">SUM(B56:M56)</f>
        <v>100917310.320918</v>
      </c>
    </row>
    <row r="57" customFormat="false" ht="15" hidden="false" customHeight="false" outlineLevel="0" collapsed="false">
      <c r="A57" s="2" t="s">
        <v>86</v>
      </c>
      <c r="B57" s="11" t="n">
        <f aca="false">IF($D$28&gt;0,$I$32*$D$25/$D$28,0)</f>
        <v>90607936.8816732</v>
      </c>
      <c r="C57" s="11" t="n">
        <f aca="false">IF(AND($C$25&lt;=$B$33+0.000000001,$D$33&gt;0),$I$33*$B$25/$D$33,0)</f>
        <v>0</v>
      </c>
      <c r="D57" s="11" t="n">
        <f aca="false">IF(AND($C$25&lt;=$B$34+0.000000001,$D$34&gt;0),$I$34*$B$25/$D$34,0)</f>
        <v>0</v>
      </c>
      <c r="E57" s="11" t="n">
        <f aca="false">IF(AND($C$25&lt;=$B$35+0.000000001,$D$35&gt;0),$I$35*$B$25/$D$35,0)</f>
        <v>0</v>
      </c>
      <c r="F57" s="11" t="n">
        <f aca="false">IF(AND($C$25&lt;=$B$36+0.000000001,$D$36&gt;0),$I$36*$B$25/$D$36,0)</f>
        <v>0</v>
      </c>
      <c r="G57" s="11" t="n">
        <f aca="false">IF(AND($C$25&lt;=$B$37+0.000000001,$D$37&gt;0),$I$37*$B$25/$D$37,0)</f>
        <v>0</v>
      </c>
      <c r="H57" s="11" t="n">
        <f aca="false">IF(AND($C$25&lt;=$B$38+0.000000001,$D$38&gt;0),$I$38*$B$25/$D$38,0)</f>
        <v>0</v>
      </c>
      <c r="I57" s="11" t="n">
        <f aca="false">IF(AND($C$25&lt;=$B$39+0.000000001,$D$39&gt;0),$I$39*$B$25/$D$39,0)</f>
        <v>0</v>
      </c>
      <c r="J57" s="11" t="n">
        <f aca="false">IF(AND($C$25&lt;=$B$40+0.000000001,$D$40&gt;0),$I$40*$B$25/$D$40,0)</f>
        <v>0</v>
      </c>
      <c r="K57" s="11" t="n">
        <f aca="false">IF(AND($C$25&lt;=$B$41+0.000000001,$D$41&gt;0),$I$41*$B$25/$D$41,0)</f>
        <v>17192265.0921576</v>
      </c>
      <c r="L57" s="11" t="n">
        <f aca="false">IF(AND($C$25&lt;=$B$42+0.000000001,$D$42&gt;0),$I$42*$B$25/$D$42,0)</f>
        <v>14466524.2233675</v>
      </c>
      <c r="M57" s="11" t="n">
        <f aca="false">IF(AND($C$25&lt;=$B$43+0.000000001,$D$43&gt;0),$I$43*$B$25/$D$43,0)</f>
        <v>23855395.9231123</v>
      </c>
      <c r="N57" s="13" t="n">
        <f aca="false">SUM(B57:M57)</f>
        <v>146122122.120311</v>
      </c>
    </row>
    <row r="58" customFormat="false" ht="15" hidden="false" customHeight="false" outlineLevel="0" collapsed="false">
      <c r="A58" s="2" t="s">
        <v>87</v>
      </c>
      <c r="B58" s="11" t="n">
        <f aca="false">IF($D$28&gt;0,$I$32*$D$26/$D$28,0)</f>
        <v>106365831.250788</v>
      </c>
      <c r="C58" s="11" t="n">
        <f aca="false">IF(AND($C$26&lt;=$B$33+0.000000001,$D$33&gt;0),$I$33*$B$26/$D$33,0)</f>
        <v>0</v>
      </c>
      <c r="D58" s="11" t="n">
        <f aca="false">IF(AND($C$26&lt;=$B$34+0.000000001,$D$34&gt;0),$I$34*$B$26/$D$34,0)</f>
        <v>0</v>
      </c>
      <c r="E58" s="11" t="n">
        <f aca="false">IF(AND($C$26&lt;=$B$35+0.000000001,$D$35&gt;0),$I$35*$B$26/$D$35,0)</f>
        <v>0</v>
      </c>
      <c r="F58" s="11" t="n">
        <f aca="false">IF(AND($C$26&lt;=$B$36+0.000000001,$D$36&gt;0),$I$36*$B$26/$D$36,0)</f>
        <v>0</v>
      </c>
      <c r="G58" s="11" t="n">
        <f aca="false">IF(AND($C$26&lt;=$B$37+0.000000001,$D$37&gt;0),$I$37*$B$26/$D$37,0)</f>
        <v>0</v>
      </c>
      <c r="H58" s="11" t="n">
        <f aca="false">IF(AND($C$26&lt;=$B$38+0.000000001,$D$38&gt;0),$I$38*$B$26/$D$38,0)</f>
        <v>0</v>
      </c>
      <c r="I58" s="11" t="n">
        <f aca="false">IF(AND($C$26&lt;=$B$39+0.000000001,$D$39&gt;0),$I$39*$B$26/$D$39,0)</f>
        <v>0</v>
      </c>
      <c r="J58" s="11" t="n">
        <f aca="false">IF(AND($C$26&lt;=$B$40+0.000000001,$D$40&gt;0),$I$40*$B$26/$D$40,0)</f>
        <v>0</v>
      </c>
      <c r="K58" s="11" t="n">
        <f aca="false">IF(AND($C$26&lt;=$B$41+0.000000001,$D$41&gt;0),$I$41*$B$26/$D$41,0)</f>
        <v>0</v>
      </c>
      <c r="L58" s="11" t="n">
        <f aca="false">IF(AND($C$26&lt;=$B$42+0.000000001,$D$42&gt;0),$I$42*$B$26/$D$42,0)</f>
        <v>10809391.9293446</v>
      </c>
      <c r="M58" s="11" t="n">
        <f aca="false">IF(AND($C$26&lt;=$B$43+0.000000001,$D$43&gt;0),$I$43*$B$26/$D$43,0)</f>
        <v>17824760.127667</v>
      </c>
      <c r="N58" s="13" t="n">
        <f aca="false">SUM(B58:M58)</f>
        <v>134999983.3078</v>
      </c>
    </row>
    <row r="59" customFormat="false" ht="15" hidden="false" customHeight="false" outlineLevel="0" collapsed="false">
      <c r="A59" s="2" t="s">
        <v>89</v>
      </c>
      <c r="B59" s="11" t="n">
        <f aca="false">IF($D$28&gt;0,$I$32*$D$27/$D$28,0)</f>
        <v>0</v>
      </c>
      <c r="C59" s="11" t="n">
        <f aca="false">IF(AND($C$27&lt;=$B$33+0.000000001,$D$33&gt;0),$I$33*$B$27/$D$33,0)</f>
        <v>0</v>
      </c>
      <c r="D59" s="11" t="n">
        <f aca="false">IF(AND($C$27&lt;=$B$34+0.000000001,$D$34&gt;0),$I$34*$B$27/$D$34,0)</f>
        <v>0</v>
      </c>
      <c r="E59" s="11" t="n">
        <f aca="false">IF(AND($C$27&lt;=$B$35+0.000000001,$D$35&gt;0),$I$35*$B$27/$D$35,0)</f>
        <v>0</v>
      </c>
      <c r="F59" s="11" t="n">
        <f aca="false">IF(AND($C$27&lt;=$B$36+0.000000001,$D$36&gt;0),$I$36*$B$27/$D$36,0)</f>
        <v>0</v>
      </c>
      <c r="G59" s="11" t="n">
        <f aca="false">IF(AND($C$27&lt;=$B$37+0.000000001,$D$37&gt;0),$I$37*$B$27/$D$37,0)</f>
        <v>0</v>
      </c>
      <c r="H59" s="11" t="n">
        <f aca="false">IF(AND($C$27&lt;=$B$38+0.000000001,$D$38&gt;0),$I$38*$B$27/$D$38,0)</f>
        <v>0</v>
      </c>
      <c r="I59" s="11" t="n">
        <f aca="false">IF(AND($C$27&lt;=$B$39+0.000000001,$D$39&gt;0),$I$39*$B$27/$D$39,0)</f>
        <v>0</v>
      </c>
      <c r="J59" s="11" t="n">
        <f aca="false">IF(AND($C$27&lt;=$B$40+0.000000001,$D$40&gt;0),$I$40*$B$27/$D$40,0)</f>
        <v>0</v>
      </c>
      <c r="K59" s="11" t="n">
        <f aca="false">IF(AND($C$27&lt;=$B$41+0.000000001,$D$41&gt;0),$I$41*$B$27/$D$41,0)</f>
        <v>0</v>
      </c>
      <c r="L59" s="11" t="n">
        <f aca="false">IF(AND($C$27&lt;=$B$42+0.000000001,$D$42&gt;0),$I$42*$B$27/$D$42,0)</f>
        <v>0</v>
      </c>
      <c r="M59" s="11" t="n">
        <f aca="false">IF(AND($C$27&lt;=$B$43+0.000000001,$D$43&gt;0),$I$43*$B$27/$D$43,0)</f>
        <v>0</v>
      </c>
      <c r="N59" s="13" t="n">
        <f aca="false">SUM(B59:M59)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8" t="s">
        <v>54</v>
      </c>
    </row>
    <row r="4" customFormat="false" ht="15" hidden="false" customHeight="false" outlineLevel="0" collapsed="false">
      <c r="A4" s="3" t="s">
        <v>55</v>
      </c>
      <c r="C4" s="16" t="n">
        <v>932751860.408317</v>
      </c>
    </row>
    <row r="5" customFormat="false" ht="15" hidden="false" customHeight="false" outlineLevel="0" collapsed="false">
      <c r="A5" s="3" t="s">
        <v>56</v>
      </c>
      <c r="C5" s="17" t="n">
        <v>2.5</v>
      </c>
    </row>
    <row r="6" customFormat="false" ht="15" hidden="false" customHeight="false" outlineLevel="0" collapsed="false">
      <c r="A6" s="3" t="s">
        <v>57</v>
      </c>
      <c r="C6" s="18" t="n">
        <v>0.54</v>
      </c>
    </row>
    <row r="7" customFormat="false" ht="15" hidden="false" customHeight="false" outlineLevel="0" collapsed="false">
      <c r="A7" s="3" t="s">
        <v>58</v>
      </c>
      <c r="C7" s="19" t="n">
        <v>0.0016</v>
      </c>
    </row>
    <row r="8" customFormat="false" ht="15" hidden="false" customHeight="false" outlineLevel="0" collapsed="false">
      <c r="A8" s="3" t="s">
        <v>59</v>
      </c>
      <c r="C8" s="18" t="n">
        <v>0.25</v>
      </c>
    </row>
    <row r="9" customFormat="false" ht="15" hidden="false" customHeight="false" outlineLevel="0" collapsed="false">
      <c r="A9" s="3" t="s">
        <v>60</v>
      </c>
      <c r="C9" s="20" t="s">
        <v>33</v>
      </c>
    </row>
    <row r="10" customFormat="false" ht="15" hidden="false" customHeight="false" outlineLevel="0" collapsed="false">
      <c r="A10" s="3" t="s">
        <v>61</v>
      </c>
      <c r="C10" s="21" t="n">
        <v>9.1456</v>
      </c>
    </row>
    <row r="11" customFormat="false" ht="15" hidden="false" customHeight="false" outlineLevel="0" collapsed="false">
      <c r="A11" s="2" t="s">
        <v>62</v>
      </c>
      <c r="C11" s="22" t="n">
        <f aca="false">G27-C10</f>
        <v>0</v>
      </c>
    </row>
    <row r="12" customFormat="false" ht="15" hidden="false" customHeight="false" outlineLevel="0" collapsed="false">
      <c r="A12" s="2" t="s">
        <v>63</v>
      </c>
      <c r="C12" s="23" t="n">
        <f aca="false">G16*(1-C8)</f>
        <v>3.56552328693452</v>
      </c>
      <c r="E12" s="3" t="s">
        <v>64</v>
      </c>
      <c r="H12" s="24" t="n">
        <f aca="false">G16</f>
        <v>4.75403104924603</v>
      </c>
    </row>
    <row r="13" customFormat="false" ht="15" hidden="false" customHeight="false" outlineLevel="0" collapsed="false">
      <c r="A13" s="2" t="s">
        <v>65</v>
      </c>
      <c r="C13" s="6" t="n">
        <v>3.54</v>
      </c>
      <c r="D13" s="7" t="n">
        <f aca="false">C12/C13-1</f>
        <v>0.00720996806059993</v>
      </c>
    </row>
    <row r="15" customFormat="false" ht="26.85" hidden="false" customHeight="false" outlineLevel="0" collapsed="false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72</v>
      </c>
      <c r="H15" s="4" t="s">
        <v>73</v>
      </c>
    </row>
    <row r="16" customFormat="false" ht="15" hidden="false" customHeight="false" outlineLevel="0" collapsed="false">
      <c r="A16" s="2" t="s">
        <v>74</v>
      </c>
      <c r="B16" s="25" t="n">
        <f aca="false">Inputs!C16</f>
        <v>24289906</v>
      </c>
      <c r="C16" s="26" t="n">
        <v>0</v>
      </c>
      <c r="D16" s="11" t="n">
        <v>0</v>
      </c>
      <c r="E16" s="3" t="s">
        <v>75</v>
      </c>
      <c r="F16" s="11" t="n">
        <f aca="false">N48</f>
        <v>115474967.307267</v>
      </c>
      <c r="G16" s="24" t="n">
        <f aca="false">IF(B16&gt;0,F16/B16,0)</f>
        <v>4.75403104924603</v>
      </c>
    </row>
    <row r="17" customFormat="false" ht="15" hidden="false" customHeight="false" outlineLevel="0" collapsed="false">
      <c r="A17" s="2" t="s">
        <v>43</v>
      </c>
      <c r="B17" s="25" t="n">
        <f aca="false">Inputs!C17</f>
        <v>0</v>
      </c>
      <c r="C17" s="26" t="n">
        <v>0</v>
      </c>
      <c r="D17" s="11" t="n">
        <v>0</v>
      </c>
      <c r="E17" s="3" t="s">
        <v>76</v>
      </c>
      <c r="F17" s="11" t="n">
        <f aca="false">N49</f>
        <v>0</v>
      </c>
      <c r="G17" s="24" t="n">
        <f aca="false">IF(B17&gt;0,F17/B17,0)</f>
        <v>0</v>
      </c>
    </row>
    <row r="18" customFormat="false" ht="15" hidden="false" customHeight="false" outlineLevel="0" collapsed="false">
      <c r="A18" s="2" t="s">
        <v>77</v>
      </c>
      <c r="B18" s="25" t="n">
        <f aca="false">Inputs!D5</f>
        <v>6446322</v>
      </c>
      <c r="C18" s="27" t="n">
        <f aca="false">Inputs!B5</f>
        <v>0.2729</v>
      </c>
      <c r="D18" s="11" t="n">
        <f aca="false">B18*C18</f>
        <v>1759201.2738</v>
      </c>
      <c r="E18" s="3" t="s">
        <v>78</v>
      </c>
      <c r="F18" s="11" t="n">
        <f aca="false">N50</f>
        <v>30968834.1621671</v>
      </c>
      <c r="G18" s="24" t="n">
        <f aca="false">IF(B18&gt;0,F18/B18,0)</f>
        <v>4.80410909696524</v>
      </c>
    </row>
    <row r="19" customFormat="false" ht="15" hidden="false" customHeight="false" outlineLevel="0" collapsed="false">
      <c r="A19" s="2" t="s">
        <v>79</v>
      </c>
      <c r="B19" s="25" t="n">
        <f aca="false">Inputs!D6</f>
        <v>8643665</v>
      </c>
      <c r="C19" s="27" t="n">
        <f aca="false">Inputs!B6</f>
        <v>0.2961</v>
      </c>
      <c r="D19" s="11" t="n">
        <f aca="false">B19*C19</f>
        <v>2559389.2065</v>
      </c>
      <c r="E19" s="3" t="s">
        <v>78</v>
      </c>
      <c r="F19" s="11" t="n">
        <f aca="false">N51</f>
        <v>41562633.6604037</v>
      </c>
      <c r="G19" s="24" t="n">
        <f aca="false">IF(B19&gt;0,F19/B19,0)</f>
        <v>4.80845031134405</v>
      </c>
    </row>
    <row r="20" customFormat="false" ht="15" hidden="false" customHeight="false" outlineLevel="0" collapsed="false">
      <c r="A20" s="2" t="s">
        <v>49</v>
      </c>
      <c r="B20" s="25" t="n">
        <f aca="false">Inputs!C20</f>
        <v>256250</v>
      </c>
      <c r="C20" s="27" t="n">
        <f aca="false">Inputs!C21</f>
        <v>0.42</v>
      </c>
      <c r="D20" s="11" t="n">
        <v>0</v>
      </c>
      <c r="E20" s="3" t="s">
        <v>80</v>
      </c>
      <c r="F20" s="11" t="n">
        <f aca="false">N52</f>
        <v>1142081.17115174</v>
      </c>
      <c r="G20" s="24" t="n">
        <f aca="false">IF(B20&gt;0,F20/B20,0)</f>
        <v>4.45690213132387</v>
      </c>
    </row>
    <row r="21" customFormat="false" ht="15" hidden="false" customHeight="false" outlineLevel="0" collapsed="false">
      <c r="A21" s="2" t="s">
        <v>81</v>
      </c>
      <c r="B21" s="25" t="n">
        <f aca="false">Inputs!D7</f>
        <v>10359546</v>
      </c>
      <c r="C21" s="27" t="n">
        <f aca="false">Inputs!B7</f>
        <v>0.49764</v>
      </c>
      <c r="D21" s="11" t="n">
        <f aca="false">B21*C21</f>
        <v>5155324.47144</v>
      </c>
      <c r="E21" s="3" t="s">
        <v>78</v>
      </c>
      <c r="F21" s="11" t="n">
        <f aca="false">N53</f>
        <v>50212913.6000575</v>
      </c>
      <c r="G21" s="24" t="n">
        <f aca="false">IF(B21&gt;0,F21/B21,0)</f>
        <v>4.84701874001597</v>
      </c>
    </row>
    <row r="22" customFormat="false" ht="15" hidden="false" customHeight="false" outlineLevel="0" collapsed="false">
      <c r="A22" s="2" t="s">
        <v>82</v>
      </c>
      <c r="B22" s="25" t="n">
        <f aca="false">Inputs!D8</f>
        <v>14196476</v>
      </c>
      <c r="C22" s="27" t="n">
        <f aca="false">Inputs!B8</f>
        <v>0.8805</v>
      </c>
      <c r="D22" s="11" t="n">
        <f aca="false">B22*C22</f>
        <v>12499997.118</v>
      </c>
      <c r="E22" s="3" t="s">
        <v>78</v>
      </c>
      <c r="F22" s="11" t="n">
        <f aca="false">N54</f>
        <v>69922395.6901825</v>
      </c>
      <c r="G22" s="24" t="n">
        <f aca="false">IF(B22&gt;0,F22/B22,0)</f>
        <v>4.92533468800162</v>
      </c>
    </row>
    <row r="23" customFormat="false" ht="15" hidden="false" customHeight="false" outlineLevel="0" collapsed="false">
      <c r="A23" s="2" t="s">
        <v>85</v>
      </c>
      <c r="B23" s="25" t="n">
        <f aca="false">Inputs!D9</f>
        <v>25146777</v>
      </c>
      <c r="C23" s="27" t="n">
        <f aca="false">Inputs!B9</f>
        <v>1.7032</v>
      </c>
      <c r="D23" s="11" t="n">
        <f aca="false">B23*C23</f>
        <v>42829990.5864</v>
      </c>
      <c r="E23" s="3" t="s">
        <v>78</v>
      </c>
      <c r="F23" s="11" t="n">
        <f aca="false">N55</f>
        <v>128792697.114489</v>
      </c>
      <c r="G23" s="24" t="n">
        <f aca="false">IF(B23&gt;0,F23/B23,0)</f>
        <v>5.12163833617682</v>
      </c>
    </row>
    <row r="24" customFormat="false" ht="15" hidden="false" customHeight="false" outlineLevel="0" collapsed="false">
      <c r="A24" s="2" t="s">
        <v>83</v>
      </c>
      <c r="B24" s="25" t="n">
        <f aca="false">Inputs!C18</f>
        <v>21034424</v>
      </c>
      <c r="C24" s="27" t="n">
        <f aca="false">Inputs!C19</f>
        <v>1.88</v>
      </c>
      <c r="D24" s="11" t="n">
        <v>0</v>
      </c>
      <c r="E24" s="3" t="s">
        <v>84</v>
      </c>
      <c r="F24" s="11" t="n">
        <f aca="false">N56</f>
        <v>73420248.0035068</v>
      </c>
      <c r="G24" s="24" t="n">
        <f aca="false">IF(B24&gt;0,F24/B24,0)</f>
        <v>3.49048055718126</v>
      </c>
    </row>
    <row r="25" customFormat="false" ht="15" hidden="false" customHeight="false" outlineLevel="0" collapsed="false">
      <c r="A25" s="2" t="s">
        <v>86</v>
      </c>
      <c r="B25" s="25" t="n">
        <f aca="false">Inputs!D10</f>
        <v>30331802</v>
      </c>
      <c r="C25" s="27" t="n">
        <f aca="false">Inputs!B10</f>
        <v>3.7914</v>
      </c>
      <c r="D25" s="11" t="n">
        <f aca="false">B25*C25</f>
        <v>114999994.1028</v>
      </c>
      <c r="E25" s="3" t="s">
        <v>78</v>
      </c>
      <c r="F25" s="11" t="n">
        <f aca="false">N57</f>
        <v>177773211.232492</v>
      </c>
      <c r="G25" s="24" t="n">
        <f aca="false">IF(B25&gt;0,F25/B25,0)</f>
        <v>5.86095119678322</v>
      </c>
    </row>
    <row r="26" customFormat="false" ht="15" hidden="false" customHeight="false" outlineLevel="0" collapsed="false">
      <c r="A26" s="2" t="s">
        <v>87</v>
      </c>
      <c r="B26" s="25" t="n">
        <f aca="false">Inputs!D11</f>
        <v>22663933</v>
      </c>
      <c r="C26" s="27" t="n">
        <f aca="false">Inputs!B11</f>
        <v>5.9566</v>
      </c>
      <c r="D26" s="11" t="n">
        <f aca="false">B26*C26</f>
        <v>134999983.3078</v>
      </c>
      <c r="E26" s="3" t="s">
        <v>78</v>
      </c>
      <c r="F26" s="11" t="n">
        <f aca="false">N58</f>
        <v>158481903.836199</v>
      </c>
      <c r="G26" s="24" t="n">
        <f aca="false">IF(B26&gt;0,F26/B26,0)</f>
        <v>6.99269203788234</v>
      </c>
    </row>
    <row r="27" customFormat="false" ht="15" hidden="false" customHeight="false" outlineLevel="0" collapsed="false">
      <c r="A27" s="2" t="s">
        <v>89</v>
      </c>
      <c r="B27" s="25" t="n">
        <f aca="false">Inputs!D12</f>
        <v>9294084</v>
      </c>
      <c r="C27" s="27" t="n">
        <f aca="false">Inputs!B12</f>
        <v>9.1456</v>
      </c>
      <c r="D27" s="11" t="n">
        <f aca="false">B27*C27</f>
        <v>84999974.6304</v>
      </c>
      <c r="E27" s="3" t="s">
        <v>78</v>
      </c>
      <c r="F27" s="11" t="n">
        <f aca="false">N59</f>
        <v>84999974.6304</v>
      </c>
      <c r="G27" s="24" t="n">
        <f aca="false">IF(B27&gt;0,F27/B27,0)</f>
        <v>9.1456</v>
      </c>
      <c r="H27" s="2" t="s">
        <v>88</v>
      </c>
    </row>
    <row r="28" customFormat="false" ht="15" hidden="false" customHeight="false" outlineLevel="0" collapsed="false">
      <c r="A28" s="2" t="s">
        <v>90</v>
      </c>
      <c r="D28" s="13" t="n">
        <f aca="false">SUM(D16:D27)</f>
        <v>399803854.69714</v>
      </c>
      <c r="F28" s="13" t="n">
        <f aca="false">SUM(F16:F27)</f>
        <v>932751860.408317</v>
      </c>
      <c r="G28" s="3" t="s">
        <v>91</v>
      </c>
      <c r="H28" s="11" t="n">
        <f aca="false">F28-C4</f>
        <v>0</v>
      </c>
    </row>
    <row r="30" customFormat="false" ht="15" hidden="false" customHeight="false" outlineLevel="0" collapsed="false">
      <c r="A30" s="28" t="s">
        <v>92</v>
      </c>
    </row>
    <row r="31" customFormat="false" ht="26.85" hidden="false" customHeight="false" outlineLevel="0" collapsed="false">
      <c r="A31" s="4" t="s">
        <v>93</v>
      </c>
      <c r="B31" s="4" t="s">
        <v>94</v>
      </c>
      <c r="C31" s="4" t="s">
        <v>95</v>
      </c>
      <c r="D31" s="4" t="s">
        <v>96</v>
      </c>
      <c r="E31" s="4" t="s">
        <v>97</v>
      </c>
      <c r="F31" s="4" t="s">
        <v>98</v>
      </c>
      <c r="G31" s="4" t="s">
        <v>99</v>
      </c>
      <c r="H31" s="4" t="s">
        <v>100</v>
      </c>
      <c r="I31" s="4" t="s">
        <v>101</v>
      </c>
    </row>
    <row r="32" customFormat="false" ht="15" hidden="false" customHeight="false" outlineLevel="0" collapsed="false">
      <c r="A32" s="3" t="s">
        <v>102</v>
      </c>
      <c r="E32" s="11" t="n">
        <v>0</v>
      </c>
      <c r="F32" s="11" t="n">
        <f aca="false">D28</f>
        <v>399803854.69714</v>
      </c>
      <c r="G32" s="11" t="n">
        <f aca="false">$C$4</f>
        <v>932751860.408317</v>
      </c>
      <c r="H32" s="11" t="n">
        <f aca="false">IF(F32&lt;=0,$C$4,$C$4*NORMSDIST((LN($C$4/F32)+($C$7+$C$6^2/2)*$C$5)/($C$6*SQRT($C$5)))-F32*EXP(-$C$7*$C$5)*NORMSDIST((LN($C$4/F32)+($C$7-$C$6^2/2)*$C$5)/($C$6*SQRT($C$5))))</f>
        <v>575714883.40789</v>
      </c>
      <c r="I32" s="13" t="n">
        <f aca="false">G32-H32</f>
        <v>357036977.000426</v>
      </c>
    </row>
    <row r="33" customFormat="false" ht="15" hidden="false" customHeight="false" outlineLevel="0" collapsed="false">
      <c r="A33" s="3" t="s">
        <v>103</v>
      </c>
      <c r="B33" s="26" t="n">
        <f aca="false">0</f>
        <v>0</v>
      </c>
      <c r="C33" s="26" t="n">
        <f aca="false">C18</f>
        <v>0.2729</v>
      </c>
      <c r="D33" s="14" t="n">
        <f aca="false">SUMPRODUCT(($C$16:$C$27&lt;=B33+0.000000001)*($E$16:$E$27&lt;&gt;"")*$B$16:$B$27)</f>
        <v>24289906</v>
      </c>
      <c r="E33" s="11" t="n">
        <f aca="false">F32</f>
        <v>399803854.69714</v>
      </c>
      <c r="F33" s="11" t="n">
        <f aca="false">E33+(C33-B33)*D33</f>
        <v>406432570.04454</v>
      </c>
      <c r="G33" s="11" t="n">
        <f aca="false">H32</f>
        <v>575714883.40789</v>
      </c>
      <c r="H33" s="11" t="n">
        <f aca="false">IF(F33&lt;=0,$C$4,$C$4*NORMSDIST((LN($C$4/F33)+($C$7+$C$6^2/2)*$C$5)/($C$6*SQRT($C$5)))-F33*EXP(-$C$7*$C$5)*NORMSDIST((LN($C$4/F33)+($C$7-$C$6^2/2)*$C$5)/($C$6*SQRT($C$5))))</f>
        <v>571011630.481161</v>
      </c>
      <c r="I33" s="13" t="n">
        <f aca="false">G33-H33</f>
        <v>4703252.92672932</v>
      </c>
    </row>
    <row r="34" customFormat="false" ht="15" hidden="false" customHeight="false" outlineLevel="0" collapsed="false">
      <c r="A34" s="3" t="s">
        <v>104</v>
      </c>
      <c r="B34" s="26" t="n">
        <f aca="false">C18</f>
        <v>0.2729</v>
      </c>
      <c r="C34" s="26" t="n">
        <f aca="false">C19</f>
        <v>0.2961</v>
      </c>
      <c r="D34" s="14" t="n">
        <f aca="false">SUMPRODUCT(($C$16:$C$27&lt;=B34+0.000000001)*($E$16:$E$27&lt;&gt;"")*$B$16:$B$27)</f>
        <v>30736228</v>
      </c>
      <c r="E34" s="11" t="n">
        <f aca="false">F33</f>
        <v>406432570.04454</v>
      </c>
      <c r="F34" s="11" t="n">
        <f aca="false">E34+(C34-B34)*D34</f>
        <v>407145650.53414</v>
      </c>
      <c r="G34" s="11" t="n">
        <f aca="false">H33</f>
        <v>571011630.481161</v>
      </c>
      <c r="H34" s="11" t="n">
        <f aca="false">IF(F34&lt;=0,$C$4,$C$4*NORMSDIST((LN($C$4/F34)+($C$7+$C$6^2/2)*$C$5)/($C$6*SQRT($C$5)))-F34*EXP(-$C$7*$C$5)*NORMSDIST((LN($C$4/F34)+($C$7-$C$6^2/2)*$C$5)/($C$6*SQRT($C$5))))</f>
        <v>570508260.515635</v>
      </c>
      <c r="I34" s="13" t="n">
        <f aca="false">G34-H34</f>
        <v>503369.965525985</v>
      </c>
    </row>
    <row r="35" customFormat="false" ht="15" hidden="false" customHeight="false" outlineLevel="0" collapsed="false">
      <c r="A35" s="3" t="s">
        <v>105</v>
      </c>
      <c r="B35" s="26" t="n">
        <f aca="false">C19</f>
        <v>0.2961</v>
      </c>
      <c r="C35" s="26" t="n">
        <f aca="false">C20</f>
        <v>0.42</v>
      </c>
      <c r="D35" s="14" t="n">
        <f aca="false">SUMPRODUCT(($C$16:$C$27&lt;=B35+0.000000001)*($E$16:$E$27&lt;&gt;"")*$B$16:$B$27)</f>
        <v>39379893</v>
      </c>
      <c r="E35" s="11" t="n">
        <f aca="false">F34</f>
        <v>407145650.53414</v>
      </c>
      <c r="F35" s="11" t="n">
        <f aca="false">E35+(C35-B35)*D35</f>
        <v>412024819.27684</v>
      </c>
      <c r="G35" s="11" t="n">
        <f aca="false">H34</f>
        <v>570508260.515635</v>
      </c>
      <c r="H35" s="11" t="n">
        <f aca="false">IF(F35&lt;=0,$C$4,$C$4*NORMSDIST((LN($C$4/F35)+($C$7+$C$6^2/2)*$C$5)/($C$6*SQRT($C$5)))-F35*EXP(-$C$7*$C$5)*NORMSDIST((LN($C$4/F35)+($C$7-$C$6^2/2)*$C$5)/($C$6*SQRT($C$5))))</f>
        <v>567077409.696844</v>
      </c>
      <c r="I35" s="13" t="n">
        <f aca="false">G35-H35</f>
        <v>3430850.81879079</v>
      </c>
    </row>
    <row r="36" customFormat="false" ht="15" hidden="false" customHeight="false" outlineLevel="0" collapsed="false">
      <c r="A36" s="3" t="s">
        <v>106</v>
      </c>
      <c r="B36" s="26" t="n">
        <f aca="false">C20</f>
        <v>0.42</v>
      </c>
      <c r="C36" s="26" t="n">
        <f aca="false">C21</f>
        <v>0.49764</v>
      </c>
      <c r="D36" s="14" t="n">
        <f aca="false">SUMPRODUCT(($C$16:$C$27&lt;=B36+0.000000001)*($E$16:$E$27&lt;&gt;"")*$B$16:$B$27)</f>
        <v>39636143</v>
      </c>
      <c r="E36" s="11" t="n">
        <f aca="false">F35</f>
        <v>412024819.27684</v>
      </c>
      <c r="F36" s="11" t="n">
        <f aca="false">E36+(C36-B36)*D36</f>
        <v>415102169.41936</v>
      </c>
      <c r="G36" s="11" t="n">
        <f aca="false">H35</f>
        <v>567077409.696844</v>
      </c>
      <c r="H36" s="11" t="n">
        <f aca="false">IF(F36&lt;=0,$C$4,$C$4*NORMSDIST((LN($C$4/F36)+($C$7+$C$6^2/2)*$C$5)/($C$6*SQRT($C$5)))-F36*EXP(-$C$7*$C$5)*NORMSDIST((LN($C$4/F36)+($C$7-$C$6^2/2)*$C$5)/($C$6*SQRT($C$5))))</f>
        <v>564925523.240324</v>
      </c>
      <c r="I36" s="13" t="n">
        <f aca="false">G36-H36</f>
        <v>2151886.45652032</v>
      </c>
    </row>
    <row r="37" customFormat="false" ht="15" hidden="false" customHeight="false" outlineLevel="0" collapsed="false">
      <c r="A37" s="3" t="s">
        <v>107</v>
      </c>
      <c r="B37" s="26" t="n">
        <f aca="false">C21</f>
        <v>0.49764</v>
      </c>
      <c r="C37" s="26" t="n">
        <f aca="false">C22</f>
        <v>0.8805</v>
      </c>
      <c r="D37" s="14" t="n">
        <f aca="false">SUMPRODUCT(($C$16:$C$27&lt;=B37+0.000000001)*($E$16:$E$27&lt;&gt;"")*$B$16:$B$27)</f>
        <v>49995689</v>
      </c>
      <c r="E37" s="11" t="n">
        <f aca="false">F36</f>
        <v>415102169.41936</v>
      </c>
      <c r="F37" s="11" t="n">
        <f aca="false">E37+(C37-B37)*D37</f>
        <v>434243518.9099</v>
      </c>
      <c r="G37" s="11" t="n">
        <f aca="false">H36</f>
        <v>564925523.240324</v>
      </c>
      <c r="H37" s="11" t="n">
        <f aca="false">IF(F37&lt;=0,$C$4,$C$4*NORMSDIST((LN($C$4/F37)+($C$7+$C$6^2/2)*$C$5)/($C$6*SQRT($C$5)))-F37*EXP(-$C$7*$C$5)*NORMSDIST((LN($C$4/F37)+($C$7-$C$6^2/2)*$C$5)/($C$6*SQRT($C$5))))</f>
        <v>551747176.950606</v>
      </c>
      <c r="I37" s="13" t="n">
        <f aca="false">G37-H37</f>
        <v>13178346.289718</v>
      </c>
    </row>
    <row r="38" customFormat="false" ht="15" hidden="false" customHeight="false" outlineLevel="0" collapsed="false">
      <c r="A38" s="3" t="s">
        <v>108</v>
      </c>
      <c r="B38" s="26" t="n">
        <f aca="false">C22</f>
        <v>0.8805</v>
      </c>
      <c r="C38" s="26" t="n">
        <f aca="false">C23</f>
        <v>1.7032</v>
      </c>
      <c r="D38" s="14" t="n">
        <f aca="false">SUMPRODUCT(($C$16:$C$27&lt;=B38+0.000000001)*($E$16:$E$27&lt;&gt;"")*$B$16:$B$27)</f>
        <v>64192165</v>
      </c>
      <c r="E38" s="11" t="n">
        <f aca="false">F37</f>
        <v>434243518.9099</v>
      </c>
      <c r="F38" s="11" t="n">
        <f aca="false">E38+(C38-B38)*D38</f>
        <v>487054413.0554</v>
      </c>
      <c r="G38" s="11" t="n">
        <f aca="false">H37</f>
        <v>551747176.950606</v>
      </c>
      <c r="H38" s="11" t="n">
        <f aca="false">IF(F38&lt;=0,$C$4,$C$4*NORMSDIST((LN($C$4/F38)+($C$7+$C$6^2/2)*$C$5)/($C$6*SQRT($C$5)))-F38*EXP(-$C$7*$C$5)*NORMSDIST((LN($C$4/F38)+($C$7-$C$6^2/2)*$C$5)/($C$6*SQRT($C$5))))</f>
        <v>517186601.748163</v>
      </c>
      <c r="I38" s="13" t="n">
        <f aca="false">G38-H38</f>
        <v>34560575.2024434</v>
      </c>
    </row>
    <row r="39" customFormat="false" ht="15" hidden="false" customHeight="false" outlineLevel="0" collapsed="false">
      <c r="A39" s="3" t="s">
        <v>109</v>
      </c>
      <c r="B39" s="26" t="n">
        <f aca="false">C23</f>
        <v>1.7032</v>
      </c>
      <c r="C39" s="26" t="n">
        <f aca="false">C24</f>
        <v>1.88</v>
      </c>
      <c r="D39" s="14" t="n">
        <f aca="false">SUMPRODUCT(($C$16:$C$27&lt;=B39+0.000000001)*($E$16:$E$27&lt;&gt;"")*$B$16:$B$27)</f>
        <v>89338942</v>
      </c>
      <c r="E39" s="11" t="n">
        <f aca="false">F38</f>
        <v>487054413.0554</v>
      </c>
      <c r="F39" s="11" t="n">
        <f aca="false">E39+(C39-B39)*D39</f>
        <v>502849538.001</v>
      </c>
      <c r="G39" s="11" t="n">
        <f aca="false">H38</f>
        <v>517186601.748163</v>
      </c>
      <c r="H39" s="11" t="n">
        <f aca="false">IF(F39&lt;=0,$C$4,$C$4*NORMSDIST((LN($C$4/F39)+($C$7+$C$6^2/2)*$C$5)/($C$6*SQRT($C$5)))-F39*EXP(-$C$7*$C$5)*NORMSDIST((LN($C$4/F39)+($C$7-$C$6^2/2)*$C$5)/($C$6*SQRT($C$5))))</f>
        <v>507346052.737597</v>
      </c>
      <c r="I39" s="13" t="n">
        <f aca="false">G39-H39</f>
        <v>9840549.01056564</v>
      </c>
    </row>
    <row r="40" customFormat="false" ht="15" hidden="false" customHeight="false" outlineLevel="0" collapsed="false">
      <c r="A40" s="3" t="s">
        <v>110</v>
      </c>
      <c r="B40" s="26" t="n">
        <f aca="false">C24</f>
        <v>1.88</v>
      </c>
      <c r="C40" s="26" t="n">
        <f aca="false">C25</f>
        <v>3.7914</v>
      </c>
      <c r="D40" s="14" t="n">
        <f aca="false">SUMPRODUCT(($C$16:$C$27&lt;=B40+0.000000001)*($E$16:$E$27&lt;&gt;"")*$B$16:$B$27)</f>
        <v>110373366</v>
      </c>
      <c r="E40" s="11" t="n">
        <f aca="false">F39</f>
        <v>502849538.001</v>
      </c>
      <c r="F40" s="11" t="n">
        <f aca="false">E40+(C40-B40)*D40</f>
        <v>713817189.7734</v>
      </c>
      <c r="G40" s="11" t="n">
        <f aca="false">H39</f>
        <v>507346052.737597</v>
      </c>
      <c r="H40" s="11" t="n">
        <f aca="false">IF(F40&lt;=0,$C$4,$C$4*NORMSDIST((LN($C$4/F40)+($C$7+$C$6^2/2)*$C$5)/($C$6*SQRT($C$5)))-F40*EXP(-$C$7*$C$5)*NORMSDIST((LN($C$4/F40)+($C$7-$C$6^2/2)*$C$5)/($C$6*SQRT($C$5))))</f>
        <v>395276840.132711</v>
      </c>
      <c r="I40" s="13" t="n">
        <f aca="false">G40-H40</f>
        <v>112069212.604886</v>
      </c>
    </row>
    <row r="41" customFormat="false" ht="15" hidden="false" customHeight="false" outlineLevel="0" collapsed="false">
      <c r="A41" s="3" t="s">
        <v>111</v>
      </c>
      <c r="B41" s="26" t="n">
        <f aca="false">C25</f>
        <v>3.7914</v>
      </c>
      <c r="C41" s="26" t="n">
        <f aca="false">C26</f>
        <v>5.9566</v>
      </c>
      <c r="D41" s="14" t="n">
        <f aca="false">SUMPRODUCT(($C$16:$C$27&lt;=B41+0.000000001)*($E$16:$E$27&lt;&gt;"")*$B$16:$B$27)</f>
        <v>140705168</v>
      </c>
      <c r="E41" s="11" t="n">
        <f aca="false">F40</f>
        <v>713817189.7734</v>
      </c>
      <c r="F41" s="11" t="n">
        <f aca="false">E41+(C41-B41)*D41</f>
        <v>1018472019.527</v>
      </c>
      <c r="G41" s="11" t="n">
        <f aca="false">H40</f>
        <v>395276840.132711</v>
      </c>
      <c r="H41" s="11" t="n">
        <f aca="false">IF(F41&lt;=0,$C$4,$C$4*NORMSDIST((LN($C$4/F41)+($C$7+$C$6^2/2)*$C$5)/($C$6*SQRT($C$5)))-F41*EXP(-$C$7*$C$5)*NORMSDIST((LN($C$4/F41)+($C$7-$C$6^2/2)*$C$5)/($C$6*SQRT($C$5))))</f>
        <v>282452615.527794</v>
      </c>
      <c r="I41" s="13" t="n">
        <f aca="false">G41-H41</f>
        <v>112824224.604917</v>
      </c>
    </row>
    <row r="42" customFormat="false" ht="15" hidden="false" customHeight="false" outlineLevel="0" collapsed="false">
      <c r="A42" s="3" t="s">
        <v>112</v>
      </c>
      <c r="B42" s="26" t="n">
        <f aca="false">C26</f>
        <v>5.9566</v>
      </c>
      <c r="C42" s="26" t="n">
        <f aca="false">C27</f>
        <v>9.1456</v>
      </c>
      <c r="D42" s="14" t="n">
        <f aca="false">SUMPRODUCT(($C$16:$C$27&lt;=B42+0.000000001)*($E$16:$E$27&lt;&gt;"")*$B$16:$B$27)</f>
        <v>163369101</v>
      </c>
      <c r="E42" s="11" t="n">
        <f aca="false">F41</f>
        <v>1018472019.527</v>
      </c>
      <c r="F42" s="11" t="n">
        <f aca="false">E42+(C42-B42)*D42</f>
        <v>1539456082.616</v>
      </c>
      <c r="G42" s="11" t="n">
        <f aca="false">H41</f>
        <v>282452615.527794</v>
      </c>
      <c r="H42" s="11" t="n">
        <f aca="false">IF(F42&lt;=0,$C$4,$C$4*NORMSDIST((LN($C$4/F42)+($C$7+$C$6^2/2)*$C$5)/($C$6*SQRT($C$5)))-F42*EXP(-$C$7*$C$5)*NORMSDIST((LN($C$4/F42)+($C$7-$C$6^2/2)*$C$5)/($C$6*SQRT($C$5))))</f>
        <v>168916672.706152</v>
      </c>
      <c r="I42" s="13" t="n">
        <f aca="false">G42-H42</f>
        <v>113535942.821642</v>
      </c>
    </row>
    <row r="43" customFormat="false" ht="15" hidden="false" customHeight="false" outlineLevel="0" collapsed="false">
      <c r="A43" s="3" t="s">
        <v>113</v>
      </c>
      <c r="B43" s="26" t="n">
        <f aca="false">C27</f>
        <v>9.1456</v>
      </c>
      <c r="C43" s="3" t="s">
        <v>114</v>
      </c>
      <c r="D43" s="14" t="n">
        <f aca="false">SUMPRODUCT(($C$16:$C$27&lt;=B43+0.000000001)*($E$16:$E$27&lt;&gt;"")*$B$16:$B$27)</f>
        <v>172663185</v>
      </c>
      <c r="E43" s="11" t="n">
        <f aca="false">F42</f>
        <v>1539456082.616</v>
      </c>
      <c r="F43" s="3" t="s">
        <v>114</v>
      </c>
      <c r="G43" s="11" t="n">
        <f aca="false">H42</f>
        <v>168916672.706152</v>
      </c>
      <c r="H43" s="11" t="n">
        <v>0</v>
      </c>
      <c r="I43" s="13" t="n">
        <f aca="false">G43-H43</f>
        <v>168916672.706152</v>
      </c>
    </row>
    <row r="44" customFormat="false" ht="15" hidden="false" customHeight="false" outlineLevel="0" collapsed="false">
      <c r="A44" s="2" t="s">
        <v>115</v>
      </c>
      <c r="I44" s="13" t="n">
        <f aca="false">SUM(I32:I43)</f>
        <v>932751860.408317</v>
      </c>
    </row>
    <row r="46" customFormat="false" ht="15" hidden="false" customHeight="false" outlineLevel="0" collapsed="false">
      <c r="A46" s="28" t="s">
        <v>116</v>
      </c>
    </row>
    <row r="47" customFormat="false" ht="26.85" hidden="false" customHeight="false" outlineLevel="0" collapsed="false">
      <c r="A47" s="4" t="s">
        <v>66</v>
      </c>
      <c r="B47" s="4" t="s">
        <v>102</v>
      </c>
      <c r="C47" s="4" t="s">
        <v>103</v>
      </c>
      <c r="D47" s="4" t="s">
        <v>104</v>
      </c>
      <c r="E47" s="4" t="s">
        <v>105</v>
      </c>
      <c r="F47" s="4" t="s">
        <v>106</v>
      </c>
      <c r="G47" s="4" t="s">
        <v>107</v>
      </c>
      <c r="H47" s="4" t="s">
        <v>108</v>
      </c>
      <c r="I47" s="4" t="s">
        <v>109</v>
      </c>
      <c r="J47" s="4" t="s">
        <v>110</v>
      </c>
      <c r="K47" s="4" t="s">
        <v>111</v>
      </c>
      <c r="L47" s="4" t="s">
        <v>112</v>
      </c>
      <c r="M47" s="4" t="s">
        <v>113</v>
      </c>
      <c r="N47" s="4" t="s">
        <v>90</v>
      </c>
    </row>
    <row r="48" customFormat="false" ht="15" hidden="false" customHeight="false" outlineLevel="0" collapsed="false">
      <c r="A48" s="2" t="s">
        <v>74</v>
      </c>
      <c r="B48" s="11" t="n">
        <f aca="false">IF($D$28&gt;0,$I$32*$D$16/$D$28,0)</f>
        <v>0</v>
      </c>
      <c r="C48" s="11" t="n">
        <f aca="false">IF(AND($C$16&lt;=$B$33+0.000000001,$D$33&gt;0),$I$33*$B$16/$D$33,0)</f>
        <v>4703252.92672932</v>
      </c>
      <c r="D48" s="11" t="n">
        <f aca="false">IF(AND($C$16&lt;=$B$34+0.000000001,$D$34&gt;0),$I$34*$B$16/$D$34,0)</f>
        <v>397797.971366214</v>
      </c>
      <c r="E48" s="11" t="n">
        <f aca="false">IF(AND($C$16&lt;=$B$35+0.000000001,$D$35&gt;0),$I$35*$B$16/$D$35,0)</f>
        <v>2116182.5881155</v>
      </c>
      <c r="F48" s="11" t="n">
        <f aca="false">IF(AND($C$16&lt;=$B$36+0.000000001,$D$36&gt;0),$I$36*$B$16/$D$36,0)</f>
        <v>1318723.66470046</v>
      </c>
      <c r="G48" s="11" t="n">
        <f aca="false">IF(AND($C$16&lt;=$B$37+0.000000001,$D$37&gt;0),$I$37*$B$16/$D$37,0)</f>
        <v>6402567.88165675</v>
      </c>
      <c r="H48" s="11" t="n">
        <f aca="false">IF(AND($C$16&lt;=$B$38+0.000000001,$D$38&gt;0),$I$38*$B$16/$D$38,0)</f>
        <v>13077501.3270433</v>
      </c>
      <c r="I48" s="11" t="n">
        <f aca="false">IF(AND($C$16&lt;=$B$39+0.000000001,$D$39&gt;0),$I$39*$B$16/$D$39,0)</f>
        <v>2675496.31889565</v>
      </c>
      <c r="J48" s="11" t="n">
        <f aca="false">IF(AND($C$16&lt;=$B$40+0.000000001,$D$40&gt;0),$I$40*$B$16/$D$40,0)</f>
        <v>24663111.5668494</v>
      </c>
      <c r="K48" s="11" t="n">
        <f aca="false">IF(AND($C$16&lt;=$B$41+0.000000001,$D$41&gt;0),$I$41*$B$16/$D$41,0)</f>
        <v>19476824.1218854</v>
      </c>
      <c r="L48" s="11" t="n">
        <f aca="false">IF(AND($C$16&lt;=$B$42+0.000000001,$D$42&gt;0),$I$42*$B$16/$D$42,0)</f>
        <v>16880654.6763029</v>
      </c>
      <c r="M48" s="11" t="n">
        <f aca="false">IF(AND($C$16&lt;=$B$43+0.000000001,$D$43&gt;0),$I$43*$B$16/$D$43,0)</f>
        <v>23762854.2637227</v>
      </c>
      <c r="N48" s="13" t="n">
        <f aca="false">SUM(B48:M48)</f>
        <v>115474967.307267</v>
      </c>
    </row>
    <row r="49" customFormat="false" ht="15" hidden="false" customHeight="false" outlineLevel="0" collapsed="false">
      <c r="A49" s="2" t="s">
        <v>43</v>
      </c>
      <c r="B49" s="11" t="n">
        <f aca="false">IF($D$28&gt;0,$I$32*$D$17/$D$28,0)</f>
        <v>0</v>
      </c>
      <c r="C49" s="11" t="n">
        <f aca="false">IF(AND($C$17&lt;=$B$33+0.000000001,$D$33&gt;0),$I$33*$B$17/$D$33,0)</f>
        <v>0</v>
      </c>
      <c r="D49" s="11" t="n">
        <f aca="false">IF(AND($C$17&lt;=$B$34+0.000000001,$D$34&gt;0),$I$34*$B$17/$D$34,0)</f>
        <v>0</v>
      </c>
      <c r="E49" s="11" t="n">
        <f aca="false">IF(AND($C$17&lt;=$B$35+0.000000001,$D$35&gt;0),$I$35*$B$17/$D$35,0)</f>
        <v>0</v>
      </c>
      <c r="F49" s="11" t="n">
        <f aca="false">IF(AND($C$17&lt;=$B$36+0.000000001,$D$36&gt;0),$I$36*$B$17/$D$36,0)</f>
        <v>0</v>
      </c>
      <c r="G49" s="11" t="n">
        <f aca="false">IF(AND($C$17&lt;=$B$37+0.000000001,$D$37&gt;0),$I$37*$B$17/$D$37,0)</f>
        <v>0</v>
      </c>
      <c r="H49" s="11" t="n">
        <f aca="false">IF(AND($C$17&lt;=$B$38+0.000000001,$D$38&gt;0),$I$38*$B$17/$D$38,0)</f>
        <v>0</v>
      </c>
      <c r="I49" s="11" t="n">
        <f aca="false">IF(AND($C$17&lt;=$B$39+0.000000001,$D$39&gt;0),$I$39*$B$17/$D$39,0)</f>
        <v>0</v>
      </c>
      <c r="J49" s="11" t="n">
        <f aca="false">IF(AND($C$17&lt;=$B$40+0.000000001,$D$40&gt;0),$I$40*$B$17/$D$40,0)</f>
        <v>0</v>
      </c>
      <c r="K49" s="11" t="n">
        <f aca="false">IF(AND($C$17&lt;=$B$41+0.000000001,$D$41&gt;0),$I$41*$B$17/$D$41,0)</f>
        <v>0</v>
      </c>
      <c r="L49" s="11" t="n">
        <f aca="false">IF(AND($C$17&lt;=$B$42+0.000000001,$D$42&gt;0),$I$42*$B$17/$D$42,0)</f>
        <v>0</v>
      </c>
      <c r="M49" s="11" t="n">
        <f aca="false">IF(AND($C$17&lt;=$B$43+0.000000001,$D$43&gt;0),$I$43*$B$17/$D$43,0)</f>
        <v>0</v>
      </c>
      <c r="N49" s="13" t="n">
        <f aca="false">SUM(B49:M49)</f>
        <v>0</v>
      </c>
    </row>
    <row r="50" customFormat="false" ht="15" hidden="false" customHeight="false" outlineLevel="0" collapsed="false">
      <c r="A50" s="2" t="s">
        <v>77</v>
      </c>
      <c r="B50" s="11" t="n">
        <f aca="false">IF($D$28&gt;0,$I$32*$D$18/$D$28,0)</f>
        <v>1571020.13238129</v>
      </c>
      <c r="C50" s="11" t="n">
        <f aca="false">IF(AND($C$18&lt;=$B$33+0.000000001,$D$33&gt;0),$I$33*$B$18/$D$33,0)</f>
        <v>0</v>
      </c>
      <c r="D50" s="11" t="n">
        <f aca="false">IF(AND($C$18&lt;=$B$34+0.000000001,$D$34&gt;0),$I$34*$B$18/$D$34,0)</f>
        <v>105571.994159771</v>
      </c>
      <c r="E50" s="11" t="n">
        <f aca="false">IF(AND($C$18&lt;=$B$35+0.000000001,$D$35&gt;0),$I$35*$B$18/$D$35,0)</f>
        <v>561615.77462613</v>
      </c>
      <c r="F50" s="11" t="n">
        <f aca="false">IF(AND($C$18&lt;=$B$36+0.000000001,$D$36&gt;0),$I$36*$B$18/$D$36,0)</f>
        <v>349977.368034245</v>
      </c>
      <c r="G50" s="11" t="n">
        <f aca="false">IF(AND($C$18&lt;=$B$37+0.000000001,$D$37&gt;0),$I$37*$B$18/$D$37,0)</f>
        <v>1699183.77584571</v>
      </c>
      <c r="H50" s="11" t="n">
        <f aca="false">IF(AND($C$18&lt;=$B$38+0.000000001,$D$38&gt;0),$I$38*$B$18/$D$38,0)</f>
        <v>3470650.91604505</v>
      </c>
      <c r="I50" s="11" t="n">
        <f aca="false">IF(AND($C$18&lt;=$B$39+0.000000001,$D$39&gt;0),$I$39*$B$18/$D$39,0)</f>
        <v>710052.594745162</v>
      </c>
      <c r="J50" s="11" t="n">
        <f aca="false">IF(AND($C$18&lt;=$B$40+0.000000001,$D$40&gt;0),$I$40*$B$18/$D$40,0)</f>
        <v>6545367.3917814</v>
      </c>
      <c r="K50" s="11" t="n">
        <f aca="false">IF(AND($C$18&lt;=$B$41+0.000000001,$D$41&gt;0),$I$41*$B$18/$D$41,0)</f>
        <v>5168973.47511515</v>
      </c>
      <c r="L50" s="11" t="n">
        <f aca="false">IF(AND($C$18&lt;=$B$42+0.000000001,$D$42&gt;0),$I$42*$B$18/$D$42,0)</f>
        <v>4479973.51715788</v>
      </c>
      <c r="M50" s="11" t="n">
        <f aca="false">IF(AND($C$18&lt;=$B$43+0.000000001,$D$43&gt;0),$I$43*$B$18/$D$43,0)</f>
        <v>6306447.22227536</v>
      </c>
      <c r="N50" s="13" t="n">
        <f aca="false">SUM(B50:M50)</f>
        <v>30968834.1621671</v>
      </c>
    </row>
    <row r="51" customFormat="false" ht="15" hidden="false" customHeight="false" outlineLevel="0" collapsed="false">
      <c r="A51" s="2" t="s">
        <v>79</v>
      </c>
      <c r="B51" s="11" t="n">
        <f aca="false">IF($D$28&gt;0,$I$32*$D$19/$D$28,0)</f>
        <v>2285612.24340496</v>
      </c>
      <c r="C51" s="11" t="n">
        <f aca="false">IF(AND($C$19&lt;=$B$33+0.000000001,$D$33&gt;0),$I$33*$B$19/$D$33,0)</f>
        <v>0</v>
      </c>
      <c r="D51" s="11" t="n">
        <f aca="false">IF(AND($C$19&lt;=$B$34+0.000000001,$D$34&gt;0),$I$34*$B$19/$D$34,0)</f>
        <v>0</v>
      </c>
      <c r="E51" s="11" t="n">
        <f aca="false">IF(AND($C$19&lt;=$B$35+0.000000001,$D$35&gt;0),$I$35*$B$19/$D$35,0)</f>
        <v>753052.456049165</v>
      </c>
      <c r="F51" s="11" t="n">
        <f aca="false">IF(AND($C$19&lt;=$B$36+0.000000001,$D$36&gt;0),$I$36*$B$19/$D$36,0)</f>
        <v>469273.351047268</v>
      </c>
      <c r="G51" s="11" t="n">
        <f aca="false">IF(AND($C$19&lt;=$B$37+0.000000001,$D$37&gt;0),$I$37*$B$19/$D$37,0)</f>
        <v>2278380.65362627</v>
      </c>
      <c r="H51" s="11" t="n">
        <f aca="false">IF(AND($C$19&lt;=$B$38+0.000000001,$D$38&gt;0),$I$38*$B$19/$D$38,0)</f>
        <v>4653683.73628195</v>
      </c>
      <c r="I51" s="11" t="n">
        <f aca="false">IF(AND($C$19&lt;=$B$39+0.000000001,$D$39&gt;0),$I$39*$B$19/$D$39,0)</f>
        <v>952086.594705933</v>
      </c>
      <c r="J51" s="11" t="n">
        <f aca="false">IF(AND($C$19&lt;=$B$40+0.000000001,$D$40&gt;0),$I$40*$B$19/$D$40,0)</f>
        <v>8776471.76738646</v>
      </c>
      <c r="K51" s="11" t="n">
        <f aca="false">IF(AND($C$19&lt;=$B$41+0.000000001,$D$41&gt;0),$I$41*$B$19/$D$41,0)</f>
        <v>6930909.6121449</v>
      </c>
      <c r="L51" s="11" t="n">
        <f aca="false">IF(AND($C$19&lt;=$B$42+0.000000001,$D$42&gt;0),$I$42*$B$19/$D$42,0)</f>
        <v>6007051.81825923</v>
      </c>
      <c r="M51" s="11" t="n">
        <f aca="false">IF(AND($C$19&lt;=$B$43+0.000000001,$D$43&gt;0),$I$43*$B$19/$D$43,0)</f>
        <v>8456111.42749753</v>
      </c>
      <c r="N51" s="13" t="n">
        <f aca="false">SUM(B51:M51)</f>
        <v>41562633.6604037</v>
      </c>
    </row>
    <row r="52" customFormat="false" ht="15" hidden="false" customHeight="false" outlineLevel="0" collapsed="false">
      <c r="A52" s="2" t="s">
        <v>49</v>
      </c>
      <c r="B52" s="11" t="n">
        <f aca="false">IF($D$28&gt;0,$I$32*$D$20/$D$28,0)</f>
        <v>0</v>
      </c>
      <c r="C52" s="11" t="n">
        <f aca="false">IF(AND($C$20&lt;=$B$33+0.000000001,$D$33&gt;0),$I$33*$B$20/$D$33,0)</f>
        <v>0</v>
      </c>
      <c r="D52" s="11" t="n">
        <f aca="false">IF(AND($C$20&lt;=$B$34+0.000000001,$D$34&gt;0),$I$34*$B$20/$D$34,0)</f>
        <v>0</v>
      </c>
      <c r="E52" s="11" t="n">
        <f aca="false">IF(AND($C$20&lt;=$B$35+0.000000001,$D$35&gt;0),$I$35*$B$20/$D$35,0)</f>
        <v>0</v>
      </c>
      <c r="F52" s="11" t="n">
        <f aca="false">IF(AND($C$20&lt;=$B$36+0.000000001,$D$36&gt;0),$I$36*$B$20/$D$36,0)</f>
        <v>13912.0727383422</v>
      </c>
      <c r="G52" s="11" t="n">
        <f aca="false">IF(AND($C$20&lt;=$B$37+0.000000001,$D$37&gt;0),$I$37*$B$20/$D$37,0)</f>
        <v>67544.8484516384</v>
      </c>
      <c r="H52" s="11" t="n">
        <f aca="false">IF(AND($C$20&lt;=$B$38+0.000000001,$D$38&gt;0),$I$38*$B$20/$D$38,0)</f>
        <v>137963.05819606</v>
      </c>
      <c r="I52" s="11" t="n">
        <f aca="false">IF(AND($C$20&lt;=$B$39+0.000000001,$D$39&gt;0),$I$39*$B$20/$D$39,0)</f>
        <v>28225.548988004</v>
      </c>
      <c r="J52" s="11" t="n">
        <f aca="false">IF(AND($C$20&lt;=$B$40+0.000000001,$D$40&gt;0),$I$40*$B$20/$D$40,0)</f>
        <v>260187.188003327</v>
      </c>
      <c r="K52" s="11" t="n">
        <f aca="false">IF(AND($C$20&lt;=$B$41+0.000000001,$D$41&gt;0),$I$41*$B$20/$D$41,0)</f>
        <v>205473.672118497</v>
      </c>
      <c r="L52" s="11" t="n">
        <f aca="false">IF(AND($C$20&lt;=$B$42+0.000000001,$D$42&gt;0),$I$42*$B$20/$D$42,0)</f>
        <v>178084.993857227</v>
      </c>
      <c r="M52" s="11" t="n">
        <f aca="false">IF(AND($C$20&lt;=$B$43+0.000000001,$D$43&gt;0),$I$43*$B$20/$D$43,0)</f>
        <v>250689.788798645</v>
      </c>
      <c r="N52" s="13" t="n">
        <f aca="false">SUM(B52:M52)</f>
        <v>1142081.17115174</v>
      </c>
    </row>
    <row r="53" customFormat="false" ht="15" hidden="false" customHeight="false" outlineLevel="0" collapsed="false">
      <c r="A53" s="2" t="s">
        <v>81</v>
      </c>
      <c r="B53" s="11" t="n">
        <f aca="false">IF($D$28&gt;0,$I$32*$D$21/$D$28,0)</f>
        <v>4603861.22623451</v>
      </c>
      <c r="C53" s="11" t="n">
        <f aca="false">IF(AND($C$21&lt;=$B$33+0.000000001,$D$33&gt;0),$I$33*$B$21/$D$33,0)</f>
        <v>0</v>
      </c>
      <c r="D53" s="11" t="n">
        <f aca="false">IF(AND($C$21&lt;=$B$34+0.000000001,$D$34&gt;0),$I$34*$B$21/$D$34,0)</f>
        <v>0</v>
      </c>
      <c r="E53" s="11" t="n">
        <f aca="false">IF(AND($C$21&lt;=$B$35+0.000000001,$D$35&gt;0),$I$35*$B$21/$D$35,0)</f>
        <v>0</v>
      </c>
      <c r="F53" s="11" t="n">
        <f aca="false">IF(AND($C$21&lt;=$B$36+0.000000001,$D$36&gt;0),$I$36*$B$21/$D$36,0)</f>
        <v>0</v>
      </c>
      <c r="G53" s="11" t="n">
        <f aca="false">IF(AND($C$21&lt;=$B$37+0.000000001,$D$37&gt;0),$I$37*$B$21/$D$37,0)</f>
        <v>2730669.13013767</v>
      </c>
      <c r="H53" s="11" t="n">
        <f aca="false">IF(AND($C$21&lt;=$B$38+0.000000001,$D$38&gt;0),$I$38*$B$21/$D$38,0)</f>
        <v>5577501.06412786</v>
      </c>
      <c r="I53" s="11" t="n">
        <f aca="false">IF(AND($C$21&lt;=$B$39+0.000000001,$D$39&gt;0),$I$39*$B$21/$D$39,0)</f>
        <v>1141088.28533261</v>
      </c>
      <c r="J53" s="11" t="n">
        <f aca="false">IF(AND($C$21&lt;=$B$40+0.000000001,$D$40&gt;0),$I$40*$B$21/$D$40,0)</f>
        <v>10518716.6545605</v>
      </c>
      <c r="K53" s="11" t="n">
        <f aca="false">IF(AND($C$21&lt;=$B$41+0.000000001,$D$41&gt;0),$I$41*$B$21/$D$41,0)</f>
        <v>8306786.17795314</v>
      </c>
      <c r="L53" s="11" t="n">
        <f aca="false">IF(AND($C$21&lt;=$B$42+0.000000001,$D$42&gt;0),$I$42*$B$21/$D$42,0)</f>
        <v>7199530.48106794</v>
      </c>
      <c r="M53" s="11" t="n">
        <f aca="false">IF(AND($C$21&lt;=$B$43+0.000000001,$D$43&gt;0),$I$43*$B$21/$D$43,0)</f>
        <v>10134760.5806433</v>
      </c>
      <c r="N53" s="13" t="n">
        <f aca="false">SUM(B53:M53)</f>
        <v>50212913.6000575</v>
      </c>
    </row>
    <row r="54" customFormat="false" ht="15" hidden="false" customHeight="false" outlineLevel="0" collapsed="false">
      <c r="A54" s="2" t="s">
        <v>82</v>
      </c>
      <c r="B54" s="11" t="n">
        <f aca="false">IF($D$28&gt;0,$I$32*$D$22/$D$28,0)</f>
        <v>11162876.8234502</v>
      </c>
      <c r="C54" s="11" t="n">
        <f aca="false">IF(AND($C$22&lt;=$B$33+0.000000001,$D$33&gt;0),$I$33*$B$22/$D$33,0)</f>
        <v>0</v>
      </c>
      <c r="D54" s="11" t="n">
        <f aca="false">IF(AND($C$22&lt;=$B$34+0.000000001,$D$34&gt;0),$I$34*$B$22/$D$34,0)</f>
        <v>0</v>
      </c>
      <c r="E54" s="11" t="n">
        <f aca="false">IF(AND($C$22&lt;=$B$35+0.000000001,$D$35&gt;0),$I$35*$B$22/$D$35,0)</f>
        <v>0</v>
      </c>
      <c r="F54" s="11" t="n">
        <f aca="false">IF(AND($C$22&lt;=$B$36+0.000000001,$D$36&gt;0),$I$36*$B$22/$D$36,0)</f>
        <v>0</v>
      </c>
      <c r="G54" s="11" t="n">
        <f aca="false">IF(AND($C$22&lt;=$B$37+0.000000001,$D$37&gt;0),$I$37*$B$22/$D$37,0)</f>
        <v>0</v>
      </c>
      <c r="H54" s="11" t="n">
        <f aca="false">IF(AND($C$22&lt;=$B$38+0.000000001,$D$38&gt;0),$I$38*$B$22/$D$38,0)</f>
        <v>7643275.10074917</v>
      </c>
      <c r="I54" s="11" t="n">
        <f aca="false">IF(AND($C$22&lt;=$B$39+0.000000001,$D$39&gt;0),$I$39*$B$22/$D$39,0)</f>
        <v>1563720.30749277</v>
      </c>
      <c r="J54" s="11" t="n">
        <f aca="false">IF(AND($C$22&lt;=$B$40+0.000000001,$D$40&gt;0),$I$40*$B$22/$D$40,0)</f>
        <v>14414599.6877921</v>
      </c>
      <c r="K54" s="11" t="n">
        <f aca="false">IF(AND($C$22&lt;=$B$41+0.000000001,$D$41&gt;0),$I$41*$B$22/$D$41,0)</f>
        <v>11383422.6531205</v>
      </c>
      <c r="L54" s="11" t="n">
        <f aca="false">IF(AND($C$22&lt;=$B$42+0.000000001,$D$42&gt;0),$I$42*$B$22/$D$42,0)</f>
        <v>9866065.72196788</v>
      </c>
      <c r="M54" s="11" t="n">
        <f aca="false">IF(AND($C$22&lt;=$B$43+0.000000001,$D$43&gt;0),$I$43*$B$22/$D$43,0)</f>
        <v>13888435.3956099</v>
      </c>
      <c r="N54" s="13" t="n">
        <f aca="false">SUM(B54:M54)</f>
        <v>69922395.6901825</v>
      </c>
    </row>
    <row r="55" customFormat="false" ht="15" hidden="false" customHeight="false" outlineLevel="0" collapsed="false">
      <c r="A55" s="2" t="s">
        <v>85</v>
      </c>
      <c r="B55" s="11" t="n">
        <f aca="false">IF($D$28&gt;0,$I$32*$D$23/$D$28,0)</f>
        <v>38248481.5598112</v>
      </c>
      <c r="C55" s="11" t="n">
        <f aca="false">IF(AND($C$23&lt;=$B$33+0.000000001,$D$33&gt;0),$I$33*$B$23/$D$33,0)</f>
        <v>0</v>
      </c>
      <c r="D55" s="11" t="n">
        <f aca="false">IF(AND($C$23&lt;=$B$34+0.000000001,$D$34&gt;0),$I$34*$B$23/$D$34,0)</f>
        <v>0</v>
      </c>
      <c r="E55" s="11" t="n">
        <f aca="false">IF(AND($C$23&lt;=$B$35+0.000000001,$D$35&gt;0),$I$35*$B$23/$D$35,0)</f>
        <v>0</v>
      </c>
      <c r="F55" s="11" t="n">
        <f aca="false">IF(AND($C$23&lt;=$B$36+0.000000001,$D$36&gt;0),$I$36*$B$23/$D$36,0)</f>
        <v>0</v>
      </c>
      <c r="G55" s="11" t="n">
        <f aca="false">IF(AND($C$23&lt;=$B$37+0.000000001,$D$37&gt;0),$I$37*$B$23/$D$37,0)</f>
        <v>0</v>
      </c>
      <c r="H55" s="11" t="n">
        <f aca="false">IF(AND($C$23&lt;=$B$38+0.000000001,$D$38&gt;0),$I$38*$B$23/$D$38,0)</f>
        <v>0</v>
      </c>
      <c r="I55" s="11" t="n">
        <f aca="false">IF(AND($C$23&lt;=$B$39+0.000000001,$D$39&gt;0),$I$39*$B$23/$D$39,0)</f>
        <v>2769879.36040551</v>
      </c>
      <c r="J55" s="11" t="n">
        <f aca="false">IF(AND($C$23&lt;=$B$40+0.000000001,$D$40&gt;0),$I$40*$B$23/$D$40,0)</f>
        <v>25533148.077958</v>
      </c>
      <c r="K55" s="11" t="n">
        <f aca="false">IF(AND($C$23&lt;=$B$41+0.000000001,$D$41&gt;0),$I$41*$B$23/$D$41,0)</f>
        <v>20163904.8278438</v>
      </c>
      <c r="L55" s="11" t="n">
        <f aca="false">IF(AND($C$23&lt;=$B$42+0.000000001,$D$42&gt;0),$I$42*$B$23/$D$42,0)</f>
        <v>17476150.7417524</v>
      </c>
      <c r="M55" s="11" t="n">
        <f aca="false">IF(AND($C$23&lt;=$B$43+0.000000001,$D$43&gt;0),$I$43*$B$23/$D$43,0)</f>
        <v>24601132.5467186</v>
      </c>
      <c r="N55" s="13" t="n">
        <f aca="false">SUM(B55:M55)</f>
        <v>128792697.114489</v>
      </c>
    </row>
    <row r="56" customFormat="false" ht="15" hidden="false" customHeight="false" outlineLevel="0" collapsed="false">
      <c r="A56" s="2" t="s">
        <v>83</v>
      </c>
      <c r="B56" s="11" t="n">
        <f aca="false">IF($D$28&gt;0,$I$32*$D$24/$D$28,0)</f>
        <v>0</v>
      </c>
      <c r="C56" s="11" t="n">
        <f aca="false">IF(AND($C$24&lt;=$B$33+0.000000001,$D$33&gt;0),$I$33*$B$24/$D$33,0)</f>
        <v>0</v>
      </c>
      <c r="D56" s="11" t="n">
        <f aca="false">IF(AND($C$24&lt;=$B$34+0.000000001,$D$34&gt;0),$I$34*$B$24/$D$34,0)</f>
        <v>0</v>
      </c>
      <c r="E56" s="11" t="n">
        <f aca="false">IF(AND($C$24&lt;=$B$35+0.000000001,$D$35&gt;0),$I$35*$B$24/$D$35,0)</f>
        <v>0</v>
      </c>
      <c r="F56" s="11" t="n">
        <f aca="false">IF(AND($C$24&lt;=$B$36+0.000000001,$D$36&gt;0),$I$36*$B$24/$D$36,0)</f>
        <v>0</v>
      </c>
      <c r="G56" s="11" t="n">
        <f aca="false">IF(AND($C$24&lt;=$B$37+0.000000001,$D$37&gt;0),$I$37*$B$24/$D$37,0)</f>
        <v>0</v>
      </c>
      <c r="H56" s="11" t="n">
        <f aca="false">IF(AND($C$24&lt;=$B$38+0.000000001,$D$38&gt;0),$I$38*$B$24/$D$38,0)</f>
        <v>0</v>
      </c>
      <c r="I56" s="11" t="n">
        <f aca="false">IF(AND($C$24&lt;=$B$39+0.000000001,$D$39&gt;0),$I$39*$B$24/$D$39,0)</f>
        <v>0</v>
      </c>
      <c r="J56" s="11" t="n">
        <f aca="false">IF(AND($C$24&lt;=$B$40+0.000000001,$D$40&gt;0),$I$40*$B$24/$D$40,0)</f>
        <v>21357610.2705549</v>
      </c>
      <c r="K56" s="11" t="n">
        <f aca="false">IF(AND($C$24&lt;=$B$41+0.000000001,$D$41&gt;0),$I$41*$B$24/$D$41,0)</f>
        <v>16866420.8397169</v>
      </c>
      <c r="L56" s="11" t="n">
        <f aca="false">IF(AND($C$24&lt;=$B$42+0.000000001,$D$42&gt;0),$I$42*$B$24/$D$42,0)</f>
        <v>14618205.9271427</v>
      </c>
      <c r="M56" s="11" t="n">
        <f aca="false">IF(AND($C$24&lt;=$B$43+0.000000001,$D$43&gt;0),$I$43*$B$24/$D$43,0)</f>
        <v>20578010.9660923</v>
      </c>
      <c r="N56" s="13" t="n">
        <f aca="false">SUM(B56:M56)</f>
        <v>73420248.0035068</v>
      </c>
    </row>
    <row r="57" customFormat="false" ht="15" hidden="false" customHeight="false" outlineLevel="0" collapsed="false">
      <c r="A57" s="2" t="s">
        <v>86</v>
      </c>
      <c r="B57" s="11" t="n">
        <f aca="false">IF($D$28&gt;0,$I$32*$D$25/$D$28,0)</f>
        <v>102698485.187527</v>
      </c>
      <c r="C57" s="11" t="n">
        <f aca="false">IF(AND($C$25&lt;=$B$33+0.000000001,$D$33&gt;0),$I$33*$B$25/$D$33,0)</f>
        <v>0</v>
      </c>
      <c r="D57" s="11" t="n">
        <f aca="false">IF(AND($C$25&lt;=$B$34+0.000000001,$D$34&gt;0),$I$34*$B$25/$D$34,0)</f>
        <v>0</v>
      </c>
      <c r="E57" s="11" t="n">
        <f aca="false">IF(AND($C$25&lt;=$B$35+0.000000001,$D$35&gt;0),$I$35*$B$25/$D$35,0)</f>
        <v>0</v>
      </c>
      <c r="F57" s="11" t="n">
        <f aca="false">IF(AND($C$25&lt;=$B$36+0.000000001,$D$36&gt;0),$I$36*$B$25/$D$36,0)</f>
        <v>0</v>
      </c>
      <c r="G57" s="11" t="n">
        <f aca="false">IF(AND($C$25&lt;=$B$37+0.000000001,$D$37&gt;0),$I$37*$B$25/$D$37,0)</f>
        <v>0</v>
      </c>
      <c r="H57" s="11" t="n">
        <f aca="false">IF(AND($C$25&lt;=$B$38+0.000000001,$D$38&gt;0),$I$38*$B$25/$D$38,0)</f>
        <v>0</v>
      </c>
      <c r="I57" s="11" t="n">
        <f aca="false">IF(AND($C$25&lt;=$B$39+0.000000001,$D$39&gt;0),$I$39*$B$25/$D$39,0)</f>
        <v>0</v>
      </c>
      <c r="J57" s="11" t="n">
        <f aca="false">IF(AND($C$25&lt;=$B$40+0.000000001,$D$40&gt;0),$I$40*$B$25/$D$40,0)</f>
        <v>0</v>
      </c>
      <c r="K57" s="11" t="n">
        <f aca="false">IF(AND($C$25&lt;=$B$41+0.000000001,$D$41&gt;0),$I$41*$B$25/$D$41,0)</f>
        <v>24321509.2250192</v>
      </c>
      <c r="L57" s="11" t="n">
        <f aca="false">IF(AND($C$25&lt;=$B$42+0.000000001,$D$42&gt;0),$I$42*$B$25/$D$42,0)</f>
        <v>21079565.9428239</v>
      </c>
      <c r="M57" s="11" t="n">
        <f aca="false">IF(AND($C$25&lt;=$B$43+0.000000001,$D$43&gt;0),$I$43*$B$25/$D$43,0)</f>
        <v>29673650.8771213</v>
      </c>
      <c r="N57" s="13" t="n">
        <f aca="false">SUM(B57:M57)</f>
        <v>177773211.232492</v>
      </c>
    </row>
    <row r="58" customFormat="false" ht="15" hidden="false" customHeight="false" outlineLevel="0" collapsed="false">
      <c r="A58" s="2" t="s">
        <v>87</v>
      </c>
      <c r="B58" s="11" t="n">
        <f aca="false">IF($D$28&gt;0,$I$32*$D$26/$D$28,0)</f>
        <v>120559082.582727</v>
      </c>
      <c r="C58" s="11" t="n">
        <f aca="false">IF(AND($C$26&lt;=$B$33+0.000000001,$D$33&gt;0),$I$33*$B$26/$D$33,0)</f>
        <v>0</v>
      </c>
      <c r="D58" s="11" t="n">
        <f aca="false">IF(AND($C$26&lt;=$B$34+0.000000001,$D$34&gt;0),$I$34*$B$26/$D$34,0)</f>
        <v>0</v>
      </c>
      <c r="E58" s="11" t="n">
        <f aca="false">IF(AND($C$26&lt;=$B$35+0.000000001,$D$35&gt;0),$I$35*$B$26/$D$35,0)</f>
        <v>0</v>
      </c>
      <c r="F58" s="11" t="n">
        <f aca="false">IF(AND($C$26&lt;=$B$36+0.000000001,$D$36&gt;0),$I$36*$B$26/$D$36,0)</f>
        <v>0</v>
      </c>
      <c r="G58" s="11" t="n">
        <f aca="false">IF(AND($C$26&lt;=$B$37+0.000000001,$D$37&gt;0),$I$37*$B$26/$D$37,0)</f>
        <v>0</v>
      </c>
      <c r="H58" s="11" t="n">
        <f aca="false">IF(AND($C$26&lt;=$B$38+0.000000001,$D$38&gt;0),$I$38*$B$26/$D$38,0)</f>
        <v>0</v>
      </c>
      <c r="I58" s="11" t="n">
        <f aca="false">IF(AND($C$26&lt;=$B$39+0.000000001,$D$39&gt;0),$I$39*$B$26/$D$39,0)</f>
        <v>0</v>
      </c>
      <c r="J58" s="11" t="n">
        <f aca="false">IF(AND($C$26&lt;=$B$40+0.000000001,$D$40&gt;0),$I$40*$B$26/$D$40,0)</f>
        <v>0</v>
      </c>
      <c r="K58" s="11" t="n">
        <f aca="false">IF(AND($C$26&lt;=$B$41+0.000000001,$D$41&gt;0),$I$41*$B$26/$D$41,0)</f>
        <v>0</v>
      </c>
      <c r="L58" s="11" t="n">
        <f aca="false">IF(AND($C$26&lt;=$B$42+0.000000001,$D$42&gt;0),$I$42*$B$26/$D$42,0)</f>
        <v>15750659.0013097</v>
      </c>
      <c r="M58" s="11" t="n">
        <f aca="false">IF(AND($C$26&lt;=$B$43+0.000000001,$D$43&gt;0),$I$43*$B$26/$D$43,0)</f>
        <v>22172162.2521625</v>
      </c>
      <c r="N58" s="13" t="n">
        <f aca="false">SUM(B58:M58)</f>
        <v>158481903.836199</v>
      </c>
    </row>
    <row r="59" customFormat="false" ht="15" hidden="false" customHeight="false" outlineLevel="0" collapsed="false">
      <c r="A59" s="2" t="s">
        <v>89</v>
      </c>
      <c r="B59" s="11" t="n">
        <f aca="false">IF($D$28&gt;0,$I$32*$D$27/$D$28,0)</f>
        <v>75907557.2448903</v>
      </c>
      <c r="C59" s="11" t="n">
        <f aca="false">IF(AND($C$27&lt;=$B$33+0.000000001,$D$33&gt;0),$I$33*$B$27/$D$33,0)</f>
        <v>0</v>
      </c>
      <c r="D59" s="11" t="n">
        <f aca="false">IF(AND($C$27&lt;=$B$34+0.000000001,$D$34&gt;0),$I$34*$B$27/$D$34,0)</f>
        <v>0</v>
      </c>
      <c r="E59" s="11" t="n">
        <f aca="false">IF(AND($C$27&lt;=$B$35+0.000000001,$D$35&gt;0),$I$35*$B$27/$D$35,0)</f>
        <v>0</v>
      </c>
      <c r="F59" s="11" t="n">
        <f aca="false">IF(AND($C$27&lt;=$B$36+0.000000001,$D$36&gt;0),$I$36*$B$27/$D$36,0)</f>
        <v>0</v>
      </c>
      <c r="G59" s="11" t="n">
        <f aca="false">IF(AND($C$27&lt;=$B$37+0.000000001,$D$37&gt;0),$I$37*$B$27/$D$37,0)</f>
        <v>0</v>
      </c>
      <c r="H59" s="11" t="n">
        <f aca="false">IF(AND($C$27&lt;=$B$38+0.000000001,$D$38&gt;0),$I$38*$B$27/$D$38,0)</f>
        <v>0</v>
      </c>
      <c r="I59" s="11" t="n">
        <f aca="false">IF(AND($C$27&lt;=$B$39+0.000000001,$D$39&gt;0),$I$39*$B$27/$D$39,0)</f>
        <v>0</v>
      </c>
      <c r="J59" s="11" t="n">
        <f aca="false">IF(AND($C$27&lt;=$B$40+0.000000001,$D$40&gt;0),$I$40*$B$27/$D$40,0)</f>
        <v>0</v>
      </c>
      <c r="K59" s="11" t="n">
        <f aca="false">IF(AND($C$27&lt;=$B$41+0.000000001,$D$41&gt;0),$I$41*$B$27/$D$41,0)</f>
        <v>0</v>
      </c>
      <c r="L59" s="11" t="n">
        <f aca="false">IF(AND($C$27&lt;=$B$42+0.000000001,$D$42&gt;0),$I$42*$B$27/$D$42,0)</f>
        <v>0</v>
      </c>
      <c r="M59" s="11" t="n">
        <f aca="false">IF(AND($C$27&lt;=$B$43+0.000000001,$D$43&gt;0),$I$43*$B$27/$D$43,0)</f>
        <v>9092417.38550973</v>
      </c>
      <c r="N59" s="13" t="n">
        <f aca="false">SUM(B59:M59)</f>
        <v>84999974.6304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8" t="s">
        <v>119</v>
      </c>
    </row>
    <row r="4" customFormat="false" ht="15" hidden="false" customHeight="false" outlineLevel="0" collapsed="false">
      <c r="A4" s="3" t="s">
        <v>120</v>
      </c>
      <c r="C4" s="18" t="n">
        <v>0.2</v>
      </c>
    </row>
    <row r="5" customFormat="false" ht="15" hidden="false" customHeight="false" outlineLevel="0" collapsed="false">
      <c r="A5" s="3" t="s">
        <v>121</v>
      </c>
      <c r="C5" s="19" t="n">
        <v>0.0042</v>
      </c>
    </row>
    <row r="6" customFormat="false" ht="15" hidden="false" customHeight="false" outlineLevel="0" collapsed="false">
      <c r="A6" s="2" t="s">
        <v>122</v>
      </c>
      <c r="C6" s="29" t="n">
        <v>34.5072237599012</v>
      </c>
    </row>
    <row r="7" customFormat="false" ht="15" hidden="false" customHeight="false" outlineLevel="0" collapsed="false">
      <c r="A7" s="3" t="s">
        <v>123</v>
      </c>
      <c r="C7" s="18" t="n">
        <v>0</v>
      </c>
    </row>
    <row r="8" customFormat="false" ht="31.5" hidden="false" customHeight="true" outlineLevel="0" collapsed="false">
      <c r="A8" s="4" t="s">
        <v>124</v>
      </c>
      <c r="B8" s="4" t="s">
        <v>125</v>
      </c>
      <c r="C8" s="4" t="s">
        <v>126</v>
      </c>
      <c r="D8" s="4" t="s">
        <v>127</v>
      </c>
      <c r="E8" s="4" t="s">
        <v>128</v>
      </c>
      <c r="F8" s="4" t="s">
        <v>59</v>
      </c>
      <c r="G8" s="4" t="s">
        <v>129</v>
      </c>
    </row>
    <row r="9" customFormat="false" ht="15" hidden="false" customHeight="false" outlineLevel="0" collapsed="false">
      <c r="A9" s="2" t="s">
        <v>130</v>
      </c>
      <c r="B9" s="30" t="n">
        <v>0.775</v>
      </c>
      <c r="C9" s="31" t="n">
        <v>0.0602739726027397</v>
      </c>
      <c r="D9" s="32" t="n">
        <f aca="false">$C$6</f>
        <v>34.5072237599012</v>
      </c>
      <c r="E9" s="32" t="n">
        <f aca="false">D9*EXP(-$C$4*C9)</f>
        <v>34.0937434850444</v>
      </c>
      <c r="F9" s="30" t="n">
        <v>0.135</v>
      </c>
      <c r="G9" s="33" t="n">
        <f aca="false">B9*E9*(1-F9)</f>
        <v>22.8555932887866</v>
      </c>
    </row>
    <row r="10" customFormat="false" ht="15" hidden="false" customHeight="false" outlineLevel="0" collapsed="false">
      <c r="A10" s="2" t="s">
        <v>131</v>
      </c>
      <c r="B10" s="30" t="n">
        <v>0.15</v>
      </c>
      <c r="C10" s="34" t="n">
        <v>0.5</v>
      </c>
      <c r="D10" s="32" t="n">
        <f aca="false">$C$6</f>
        <v>34.5072237599012</v>
      </c>
      <c r="E10" s="32" t="n">
        <f aca="false">D10*EXP(-$C$4*C10)</f>
        <v>31.2234272504981</v>
      </c>
      <c r="F10" s="30" t="n">
        <v>0.16</v>
      </c>
      <c r="G10" s="33" t="n">
        <f aca="false">B10*E10*(1-F10)</f>
        <v>3.93415183356276</v>
      </c>
    </row>
    <row r="11" customFormat="false" ht="15" hidden="false" customHeight="false" outlineLevel="0" collapsed="false">
      <c r="A11" s="2" t="s">
        <v>132</v>
      </c>
      <c r="B11" s="30" t="n">
        <v>0.075</v>
      </c>
      <c r="C11" s="35" t="n">
        <f aca="false">OPM_2021!C5</f>
        <v>2</v>
      </c>
      <c r="D11" s="5" t="n">
        <f aca="false">OPM_2021!H12</f>
        <v>34.4934200471217</v>
      </c>
      <c r="E11" s="32" t="n">
        <f aca="false">D11</f>
        <v>34.4934200471217</v>
      </c>
      <c r="F11" s="30" t="n">
        <v>0.25</v>
      </c>
      <c r="G11" s="33" t="n">
        <f aca="false">B11*E11*(1-F11)</f>
        <v>1.9402548776506</v>
      </c>
    </row>
    <row r="12" customFormat="false" ht="15" hidden="false" customHeight="false" outlineLevel="0" collapsed="false">
      <c r="A12" s="2" t="s">
        <v>133</v>
      </c>
      <c r="B12" s="36" t="n">
        <f aca="false">SUM(B9:B11)</f>
        <v>1</v>
      </c>
      <c r="E12" s="32" t="n">
        <f aca="false">SUMPRODUCT(B9:B11,E9:E11)</f>
        <v>33.6931717920183</v>
      </c>
      <c r="F12" s="36" t="n">
        <f aca="false">1-G12/E12</f>
        <v>0.147304973917416</v>
      </c>
      <c r="G12" s="33" t="n">
        <f aca="false">SUM(G9:G11)</f>
        <v>28.73</v>
      </c>
    </row>
    <row r="14" customFormat="false" ht="15" hidden="false" customHeight="false" outlineLevel="0" collapsed="false">
      <c r="A14" s="3" t="s">
        <v>134</v>
      </c>
      <c r="C14" s="37" t="n">
        <f aca="false">($C$6*(Inputs!D16+Inputs!D17+Inputs!E13)+MAX($C$6-Inputs!D19,0)*Inputs!D18+MAX($C$6-Inputs!D21,0)*Inputs!D20)*(1-$C$7)</f>
        <v>6132730201.73017</v>
      </c>
    </row>
    <row r="16" customFormat="false" ht="15" hidden="false" customHeight="false" outlineLevel="0" collapsed="false">
      <c r="A16" s="3" t="s">
        <v>135</v>
      </c>
      <c r="C16" s="25" t="n">
        <f aca="false">Inputs!D16+Inputs!D17+Inputs!E13+Inputs!D18+Inputs!D20</f>
        <v>180026126</v>
      </c>
    </row>
    <row r="22" customFormat="false" ht="15" hidden="false" customHeight="false" outlineLevel="0" collapsed="false">
      <c r="A22" s="2" t="s">
        <v>136</v>
      </c>
      <c r="C22" s="33" t="n">
        <f aca="false">G12</f>
        <v>28.73</v>
      </c>
    </row>
    <row r="23" customFormat="false" ht="15" hidden="false" customHeight="false" outlineLevel="0" collapsed="false">
      <c r="A23" s="3" t="s">
        <v>137</v>
      </c>
      <c r="C23" s="6" t="n">
        <v>28.73</v>
      </c>
    </row>
    <row r="24" customFormat="false" ht="15" hidden="false" customHeight="false" outlineLevel="0" collapsed="false">
      <c r="A24" s="2" t="s">
        <v>138</v>
      </c>
      <c r="C24" s="22" t="n">
        <f aca="false">C22-C23</f>
        <v>0</v>
      </c>
    </row>
    <row r="26" customFormat="false" ht="15" hidden="false" customHeight="false" outlineLevel="0" collapsed="false">
      <c r="A26" s="8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5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8" t="s">
        <v>54</v>
      </c>
    </row>
    <row r="4" customFormat="false" ht="15" hidden="false" customHeight="false" outlineLevel="0" collapsed="false">
      <c r="A4" s="3" t="s">
        <v>55</v>
      </c>
      <c r="C4" s="37" t="n">
        <f aca="false">Hybrid_2021!C14</f>
        <v>6132730201.73017</v>
      </c>
    </row>
    <row r="5" customFormat="false" ht="15" hidden="false" customHeight="false" outlineLevel="0" collapsed="false">
      <c r="A5" s="3" t="s">
        <v>56</v>
      </c>
      <c r="C5" s="17" t="n">
        <v>2</v>
      </c>
    </row>
    <row r="6" customFormat="false" ht="15" hidden="false" customHeight="false" outlineLevel="0" collapsed="false">
      <c r="A6" s="3" t="s">
        <v>57</v>
      </c>
      <c r="C6" s="18" t="n">
        <v>0.5</v>
      </c>
    </row>
    <row r="7" customFormat="false" ht="15" hidden="false" customHeight="false" outlineLevel="0" collapsed="false">
      <c r="A7" s="3" t="s">
        <v>58</v>
      </c>
      <c r="C7" s="19" t="n">
        <v>0.0042</v>
      </c>
    </row>
    <row r="8" customFormat="false" ht="15" hidden="false" customHeight="false" outlineLevel="0" collapsed="false">
      <c r="A8" s="3" t="s">
        <v>59</v>
      </c>
      <c r="C8" s="18" t="n">
        <v>0.25</v>
      </c>
    </row>
    <row r="9" customFormat="false" ht="15" hidden="false" customHeight="false" outlineLevel="0" collapsed="false">
      <c r="A9" s="3" t="s">
        <v>60</v>
      </c>
      <c r="C9" s="20" t="s">
        <v>33</v>
      </c>
    </row>
    <row r="10" customFormat="false" ht="15" hidden="false" customHeight="false" outlineLevel="0" collapsed="false">
      <c r="A10" s="3"/>
      <c r="C10" s="21"/>
    </row>
    <row r="11" customFormat="false" ht="15" hidden="false" customHeight="false" outlineLevel="0" collapsed="false">
      <c r="A11" s="2"/>
      <c r="C11" s="22"/>
    </row>
    <row r="12" customFormat="false" ht="15" hidden="false" customHeight="false" outlineLevel="0" collapsed="false">
      <c r="A12" s="2" t="s">
        <v>141</v>
      </c>
      <c r="C12" s="23" t="n">
        <f aca="false">G16*(1-C8)</f>
        <v>25.8700650353413</v>
      </c>
      <c r="E12" s="3" t="s">
        <v>64</v>
      </c>
      <c r="H12" s="24" t="n">
        <f aca="false">G16</f>
        <v>34.4934200471217</v>
      </c>
    </row>
    <row r="13" customFormat="false" ht="15" hidden="false" customHeight="false" outlineLevel="0" collapsed="false">
      <c r="A13" s="2"/>
      <c r="C13" s="6"/>
      <c r="D13" s="7"/>
    </row>
    <row r="15" customFormat="false" ht="26.85" hidden="false" customHeight="false" outlineLevel="0" collapsed="false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71</v>
      </c>
      <c r="G15" s="4" t="s">
        <v>72</v>
      </c>
      <c r="H15" s="4" t="s">
        <v>73</v>
      </c>
    </row>
    <row r="16" customFormat="false" ht="15" hidden="false" customHeight="false" outlineLevel="0" collapsed="false">
      <c r="A16" s="2" t="s">
        <v>74</v>
      </c>
      <c r="B16" s="25" t="n">
        <f aca="false">Inputs!D16</f>
        <v>26385643</v>
      </c>
      <c r="C16" s="26" t="n">
        <v>0</v>
      </c>
      <c r="D16" s="11" t="n">
        <v>0</v>
      </c>
      <c r="E16" s="3" t="s">
        <v>75</v>
      </c>
      <c r="F16" s="11" t="n">
        <f aca="false">N48</f>
        <v>910131067.212398</v>
      </c>
      <c r="G16" s="24" t="n">
        <f aca="false">IF(B16&gt;0,F16/B16,0)</f>
        <v>34.4934200471217</v>
      </c>
    </row>
    <row r="17" customFormat="false" ht="15" hidden="false" customHeight="false" outlineLevel="0" collapsed="false">
      <c r="A17" s="2" t="s">
        <v>43</v>
      </c>
      <c r="B17" s="25" t="n">
        <f aca="false">Inputs!D17</f>
        <v>617696</v>
      </c>
      <c r="C17" s="26" t="n">
        <v>0</v>
      </c>
      <c r="D17" s="11" t="n">
        <v>0</v>
      </c>
      <c r="E17" s="3" t="s">
        <v>76</v>
      </c>
      <c r="F17" s="11" t="n">
        <f aca="false">N49</f>
        <v>21306447.5894269</v>
      </c>
      <c r="G17" s="24" t="n">
        <f aca="false">IF(B17&gt;0,F17/B17,0)</f>
        <v>34.4934200471217</v>
      </c>
    </row>
    <row r="18" customFormat="false" ht="15" hidden="false" customHeight="false" outlineLevel="0" collapsed="false">
      <c r="A18" s="2" t="s">
        <v>77</v>
      </c>
      <c r="B18" s="25" t="n">
        <f aca="false">Inputs!E5</f>
        <v>6774348</v>
      </c>
      <c r="C18" s="27" t="n">
        <f aca="false">Inputs!B5</f>
        <v>0.2729</v>
      </c>
      <c r="D18" s="11" t="n">
        <f aca="false">B18*C18</f>
        <v>1848719.5692</v>
      </c>
      <c r="E18" s="3" t="s">
        <v>78</v>
      </c>
      <c r="F18" s="11" t="n">
        <f aca="false">N50</f>
        <v>233670787.513486</v>
      </c>
      <c r="G18" s="24" t="n">
        <f aca="false">IF(B18&gt;0,F18/B18,0)</f>
        <v>34.4934726579571</v>
      </c>
    </row>
    <row r="19" customFormat="false" ht="15" hidden="false" customHeight="false" outlineLevel="0" collapsed="false">
      <c r="A19" s="2" t="s">
        <v>79</v>
      </c>
      <c r="B19" s="25" t="n">
        <f aca="false">Inputs!E6</f>
        <v>8643665</v>
      </c>
      <c r="C19" s="27" t="n">
        <f aca="false">Inputs!B6</f>
        <v>0.2961</v>
      </c>
      <c r="D19" s="11" t="n">
        <f aca="false">B19*C19</f>
        <v>2559389.2065</v>
      </c>
      <c r="E19" s="3" t="s">
        <v>78</v>
      </c>
      <c r="F19" s="11" t="n">
        <f aca="false">N51</f>
        <v>298150063.461111</v>
      </c>
      <c r="G19" s="24" t="n">
        <f aca="false">IF(B19&gt;0,F19/B19,0)</f>
        <v>34.4934774150908</v>
      </c>
    </row>
    <row r="20" customFormat="false" ht="15" hidden="false" customHeight="false" outlineLevel="0" collapsed="false">
      <c r="A20" s="2" t="s">
        <v>49</v>
      </c>
      <c r="B20" s="25" t="n">
        <f aca="false">Inputs!D20</f>
        <v>256250</v>
      </c>
      <c r="C20" s="27" t="n">
        <f aca="false">Inputs!D21</f>
        <v>0.42</v>
      </c>
      <c r="D20" s="11" t="n">
        <v>0</v>
      </c>
      <c r="E20" s="3" t="s">
        <v>80</v>
      </c>
      <c r="F20" s="11" t="n">
        <f aca="false">N52</f>
        <v>8732239.15569318</v>
      </c>
      <c r="G20" s="24" t="n">
        <f aca="false">IF(B20&gt;0,F20/B20,0)</f>
        <v>34.0770308514856</v>
      </c>
    </row>
    <row r="21" customFormat="false" ht="15" hidden="false" customHeight="false" outlineLevel="0" collapsed="false">
      <c r="A21" s="2" t="s">
        <v>81</v>
      </c>
      <c r="B21" s="25" t="n">
        <f aca="false">Inputs!E7</f>
        <v>10359546</v>
      </c>
      <c r="C21" s="27" t="n">
        <f aca="false">Inputs!B7</f>
        <v>0.49764</v>
      </c>
      <c r="D21" s="11" t="n">
        <f aca="false">B21*C21</f>
        <v>5155324.47144</v>
      </c>
      <c r="E21" s="3" t="s">
        <v>78</v>
      </c>
      <c r="F21" s="11" t="n">
        <f aca="false">N53</f>
        <v>357337225.055982</v>
      </c>
      <c r="G21" s="24" t="n">
        <f aca="false">IF(B21&gt;0,F21/B21,0)</f>
        <v>34.4935217292323</v>
      </c>
    </row>
    <row r="22" customFormat="false" ht="15" hidden="false" customHeight="false" outlineLevel="0" collapsed="false">
      <c r="A22" s="2" t="s">
        <v>82</v>
      </c>
      <c r="B22" s="25" t="n">
        <f aca="false">Inputs!E8</f>
        <v>14196476</v>
      </c>
      <c r="C22" s="27" t="n">
        <f aca="false">Inputs!B8</f>
        <v>0.8805</v>
      </c>
      <c r="D22" s="11" t="n">
        <f aca="false">B22*C22</f>
        <v>12499997.118</v>
      </c>
      <c r="E22" s="3" t="s">
        <v>78</v>
      </c>
      <c r="F22" s="11" t="n">
        <f aca="false">N54</f>
        <v>489687922.193461</v>
      </c>
      <c r="G22" s="24" t="n">
        <f aca="false">IF(B22&gt;0,F22/B22,0)</f>
        <v>34.4936251921576</v>
      </c>
    </row>
    <row r="23" customFormat="false" ht="15" hidden="false" customHeight="false" outlineLevel="0" collapsed="false">
      <c r="A23" s="2" t="s">
        <v>85</v>
      </c>
      <c r="B23" s="25" t="n">
        <f aca="false">Inputs!E9</f>
        <v>25146777</v>
      </c>
      <c r="C23" s="27" t="n">
        <f aca="false">Inputs!B9</f>
        <v>1.7032</v>
      </c>
      <c r="D23" s="11" t="n">
        <f aca="false">B23*C23</f>
        <v>42829990.5864</v>
      </c>
      <c r="E23" s="3" t="s">
        <v>78</v>
      </c>
      <c r="F23" s="11" t="n">
        <f aca="false">N55</f>
        <v>867412595.250021</v>
      </c>
      <c r="G23" s="24" t="n">
        <f aca="false">IF(B23&gt;0,F23/B23,0)</f>
        <v>34.493986853664</v>
      </c>
    </row>
    <row r="24" customFormat="false" ht="15" hidden="false" customHeight="false" outlineLevel="0" collapsed="false">
      <c r="A24" s="2" t="s">
        <v>83</v>
      </c>
      <c r="B24" s="25" t="n">
        <f aca="false">Inputs!D18</f>
        <v>25355906</v>
      </c>
      <c r="C24" s="27" t="n">
        <f aca="false">Inputs!D19</f>
        <v>3.13</v>
      </c>
      <c r="D24" s="11" t="n">
        <v>0</v>
      </c>
      <c r="E24" s="3" t="s">
        <v>84</v>
      </c>
      <c r="F24" s="11" t="n">
        <f aca="false">N56</f>
        <v>795970401.877319</v>
      </c>
      <c r="G24" s="24" t="n">
        <f aca="false">IF(B24&gt;0,F24/B24,0)</f>
        <v>31.39191326381</v>
      </c>
    </row>
    <row r="25" customFormat="false" ht="15" hidden="false" customHeight="false" outlineLevel="0" collapsed="false">
      <c r="A25" s="2" t="s">
        <v>86</v>
      </c>
      <c r="B25" s="25" t="n">
        <f aca="false">Inputs!E10</f>
        <v>30331802</v>
      </c>
      <c r="C25" s="27" t="n">
        <f aca="false">Inputs!B10</f>
        <v>3.7914</v>
      </c>
      <c r="D25" s="11" t="n">
        <f aca="false">B25*C25</f>
        <v>114999994.1028</v>
      </c>
      <c r="E25" s="3" t="s">
        <v>78</v>
      </c>
      <c r="F25" s="11" t="n">
        <f aca="false">N57</f>
        <v>1046364469.34419</v>
      </c>
      <c r="G25" s="24" t="n">
        <f aca="false">IF(B25&gt;0,F25/B25,0)</f>
        <v>34.4972735000773</v>
      </c>
    </row>
    <row r="26" customFormat="false" ht="15" hidden="false" customHeight="false" outlineLevel="0" collapsed="false">
      <c r="A26" s="2" t="s">
        <v>87</v>
      </c>
      <c r="B26" s="25" t="n">
        <f aca="false">Inputs!E11</f>
        <v>22663933</v>
      </c>
      <c r="C26" s="27" t="n">
        <f aca="false">Inputs!B11</f>
        <v>5.9566</v>
      </c>
      <c r="D26" s="11" t="n">
        <f aca="false">B26*C26</f>
        <v>134999983.3078</v>
      </c>
      <c r="E26" s="3" t="s">
        <v>78</v>
      </c>
      <c r="F26" s="11" t="n">
        <f aca="false">N58</f>
        <v>782226690.097626</v>
      </c>
      <c r="G26" s="24" t="n">
        <f aca="false">IF(B26&gt;0,F26/B26,0)</f>
        <v>34.5141635433544</v>
      </c>
    </row>
    <row r="27" customFormat="false" ht="15" hidden="false" customHeight="false" outlineLevel="0" collapsed="false">
      <c r="A27" s="2" t="s">
        <v>89</v>
      </c>
      <c r="B27" s="25" t="n">
        <f aca="false">Inputs!E12</f>
        <v>9294084</v>
      </c>
      <c r="C27" s="27" t="n">
        <f aca="false">Inputs!B12</f>
        <v>9.1456</v>
      </c>
      <c r="D27" s="11" t="n">
        <f aca="false">B27*C27</f>
        <v>84999974.6304</v>
      </c>
      <c r="E27" s="3" t="s">
        <v>78</v>
      </c>
      <c r="F27" s="11" t="n">
        <f aca="false">N59</f>
        <v>321740292.979453</v>
      </c>
      <c r="G27" s="24" t="n">
        <f aca="false">IF(B27&gt;0,F27/B27,0)</f>
        <v>34.61775178484</v>
      </c>
      <c r="H27" s="2" t="s">
        <v>88</v>
      </c>
    </row>
    <row r="28" customFormat="false" ht="15" hidden="false" customHeight="false" outlineLevel="0" collapsed="false">
      <c r="A28" s="2" t="s">
        <v>90</v>
      </c>
      <c r="D28" s="13" t="n">
        <f aca="false">SUM(D16:D27)</f>
        <v>399893372.99254</v>
      </c>
      <c r="F28" s="13" t="n">
        <f aca="false">SUM(F16:F27)</f>
        <v>6132730201.73017</v>
      </c>
      <c r="G28" s="3" t="s">
        <v>91</v>
      </c>
      <c r="H28" s="11" t="n">
        <f aca="false">F28-C4</f>
        <v>0</v>
      </c>
    </row>
    <row r="30" customFormat="false" ht="15" hidden="false" customHeight="false" outlineLevel="0" collapsed="false">
      <c r="A30" s="28" t="s">
        <v>92</v>
      </c>
    </row>
    <row r="31" customFormat="false" ht="26.85" hidden="false" customHeight="false" outlineLevel="0" collapsed="false">
      <c r="A31" s="4" t="s">
        <v>93</v>
      </c>
      <c r="B31" s="4" t="s">
        <v>94</v>
      </c>
      <c r="C31" s="4" t="s">
        <v>95</v>
      </c>
      <c r="D31" s="4" t="s">
        <v>96</v>
      </c>
      <c r="E31" s="4" t="s">
        <v>97</v>
      </c>
      <c r="F31" s="4" t="s">
        <v>98</v>
      </c>
      <c r="G31" s="4" t="s">
        <v>99</v>
      </c>
      <c r="H31" s="4" t="s">
        <v>100</v>
      </c>
      <c r="I31" s="4" t="s">
        <v>101</v>
      </c>
    </row>
    <row r="32" customFormat="false" ht="15" hidden="false" customHeight="false" outlineLevel="0" collapsed="false">
      <c r="A32" s="3" t="s">
        <v>102</v>
      </c>
      <c r="E32" s="11" t="n">
        <v>0</v>
      </c>
      <c r="F32" s="11" t="n">
        <f aca="false">D28</f>
        <v>399893372.99254</v>
      </c>
      <c r="G32" s="11" t="n">
        <f aca="false">$C$4</f>
        <v>6132730201.73017</v>
      </c>
      <c r="H32" s="11" t="n">
        <f aca="false">IF(F32&lt;=0,$C$4,$C$4*NORMSDIST((LN($C$4/F32)+($C$7+$C$6^2/2)*$C$5)/($C$6*SQRT($C$5)))-F32*EXP(-$C$7*$C$5)*NORMSDIST((LN($C$4/F32)+($C$7-$C$6^2/2)*$C$5)/($C$6*SQRT($C$5))))</f>
        <v>5736194843.3071</v>
      </c>
      <c r="I32" s="13" t="n">
        <f aca="false">G32-H32</f>
        <v>396535358.423069</v>
      </c>
    </row>
    <row r="33" customFormat="false" ht="15" hidden="false" customHeight="false" outlineLevel="0" collapsed="false">
      <c r="A33" s="3" t="s">
        <v>103</v>
      </c>
      <c r="B33" s="26" t="n">
        <f aca="false">0</f>
        <v>0</v>
      </c>
      <c r="C33" s="26" t="n">
        <f aca="false">C18</f>
        <v>0.2729</v>
      </c>
      <c r="D33" s="14" t="n">
        <f aca="false">SUMPRODUCT(($C$16:$C$27&lt;=B33+0.000000001)*($E$16:$E$27&lt;&gt;"")*$B$16:$B$27)</f>
        <v>27003339</v>
      </c>
      <c r="E33" s="11" t="n">
        <f aca="false">F32</f>
        <v>399893372.99254</v>
      </c>
      <c r="F33" s="11" t="n">
        <f aca="false">E33+(C33-B33)*D33</f>
        <v>407262584.20564</v>
      </c>
      <c r="G33" s="11" t="n">
        <f aca="false">H32</f>
        <v>5736194843.3071</v>
      </c>
      <c r="H33" s="11" t="n">
        <f aca="false">IF(F33&lt;=0,$C$4,$C$4*NORMSDIST((LN($C$4/F33)+($C$7+$C$6^2/2)*$C$5)/($C$6*SQRT($C$5)))-F33*EXP(-$C$7*$C$5)*NORMSDIST((LN($C$4/F33)+($C$7-$C$6^2/2)*$C$5)/($C$6*SQRT($C$5))))</f>
        <v>5728888934.05431</v>
      </c>
      <c r="I33" s="13" t="n">
        <f aca="false">G33-H33</f>
        <v>7305909.25278759</v>
      </c>
    </row>
    <row r="34" customFormat="false" ht="15" hidden="false" customHeight="false" outlineLevel="0" collapsed="false">
      <c r="A34" s="3" t="s">
        <v>104</v>
      </c>
      <c r="B34" s="26" t="n">
        <f aca="false">C18</f>
        <v>0.2729</v>
      </c>
      <c r="C34" s="26" t="n">
        <f aca="false">C19</f>
        <v>0.2961</v>
      </c>
      <c r="D34" s="14" t="n">
        <f aca="false">SUMPRODUCT(($C$16:$C$27&lt;=B34+0.000000001)*($E$16:$E$27&lt;&gt;"")*$B$16:$B$27)</f>
        <v>33777687</v>
      </c>
      <c r="E34" s="11" t="n">
        <f aca="false">F33</f>
        <v>407262584.20564</v>
      </c>
      <c r="F34" s="11" t="n">
        <f aca="false">E34+(C34-B34)*D34</f>
        <v>408046226.54404</v>
      </c>
      <c r="G34" s="11" t="n">
        <f aca="false">H33</f>
        <v>5728888934.05431</v>
      </c>
      <c r="H34" s="11" t="n">
        <f aca="false">IF(F34&lt;=0,$C$4,$C$4*NORMSDIST((LN($C$4/F34)+($C$7+$C$6^2/2)*$C$5)/($C$6*SQRT($C$5)))-F34*EXP(-$C$7*$C$5)*NORMSDIST((LN($C$4/F34)+($C$7-$C$6^2/2)*$C$5)/($C$6*SQRT($C$5))))</f>
        <v>5728112032.861</v>
      </c>
      <c r="I34" s="13" t="n">
        <f aca="false">G34-H34</f>
        <v>776901.193314552</v>
      </c>
    </row>
    <row r="35" customFormat="false" ht="15" hidden="false" customHeight="false" outlineLevel="0" collapsed="false">
      <c r="A35" s="3" t="s">
        <v>105</v>
      </c>
      <c r="B35" s="26" t="n">
        <f aca="false">C19</f>
        <v>0.2961</v>
      </c>
      <c r="C35" s="26" t="n">
        <f aca="false">C20</f>
        <v>0.42</v>
      </c>
      <c r="D35" s="14" t="n">
        <f aca="false">SUMPRODUCT(($C$16:$C$27&lt;=B35+0.000000001)*($E$16:$E$27&lt;&gt;"")*$B$16:$B$27)</f>
        <v>42421352</v>
      </c>
      <c r="E35" s="11" t="n">
        <f aca="false">F34</f>
        <v>408046226.54404</v>
      </c>
      <c r="F35" s="11" t="n">
        <f aca="false">E35+(C35-B35)*D35</f>
        <v>413302232.05684</v>
      </c>
      <c r="G35" s="11" t="n">
        <f aca="false">H34</f>
        <v>5728112032.861</v>
      </c>
      <c r="H35" s="11" t="n">
        <f aca="false">IF(F35&lt;=0,$C$4,$C$4*NORMSDIST((LN($C$4/F35)+($C$7+$C$6^2/2)*$C$5)/($C$6*SQRT($C$5)))-F35*EXP(-$C$7*$C$5)*NORMSDIST((LN($C$4/F35)+($C$7-$C$6^2/2)*$C$5)/($C$6*SQRT($C$5))))</f>
        <v>5722901291.07108</v>
      </c>
      <c r="I35" s="13" t="n">
        <f aca="false">G35-H35</f>
        <v>5210741.78991222</v>
      </c>
    </row>
    <row r="36" customFormat="false" ht="15" hidden="false" customHeight="false" outlineLevel="0" collapsed="false">
      <c r="A36" s="3" t="s">
        <v>106</v>
      </c>
      <c r="B36" s="26" t="n">
        <f aca="false">C20</f>
        <v>0.42</v>
      </c>
      <c r="C36" s="26" t="n">
        <f aca="false">C21</f>
        <v>0.49764</v>
      </c>
      <c r="D36" s="14" t="n">
        <f aca="false">SUMPRODUCT(($C$16:$C$27&lt;=B36+0.000000001)*($E$16:$E$27&lt;&gt;"")*$B$16:$B$27)</f>
        <v>42677602</v>
      </c>
      <c r="E36" s="11" t="n">
        <f aca="false">F35</f>
        <v>413302232.05684</v>
      </c>
      <c r="F36" s="11" t="n">
        <f aca="false">E36+(C36-B36)*D36</f>
        <v>416615721.07612</v>
      </c>
      <c r="G36" s="11" t="n">
        <f aca="false">H35</f>
        <v>5722901291.07108</v>
      </c>
      <c r="H36" s="11" t="n">
        <f aca="false">IF(F36&lt;=0,$C$4,$C$4*NORMSDIST((LN($C$4/F36)+($C$7+$C$6^2/2)*$C$5)/($C$6*SQRT($C$5)))-F36*EXP(-$C$7*$C$5)*NORMSDIST((LN($C$4/F36)+($C$7-$C$6^2/2)*$C$5)/($C$6*SQRT($C$5))))</f>
        <v>5719616383.13987</v>
      </c>
      <c r="I36" s="13" t="n">
        <f aca="false">G36-H36</f>
        <v>3284907.93120956</v>
      </c>
    </row>
    <row r="37" customFormat="false" ht="15" hidden="false" customHeight="false" outlineLevel="0" collapsed="false">
      <c r="A37" s="3" t="s">
        <v>107</v>
      </c>
      <c r="B37" s="26" t="n">
        <f aca="false">C21</f>
        <v>0.49764</v>
      </c>
      <c r="C37" s="26" t="n">
        <f aca="false">C22</f>
        <v>0.8805</v>
      </c>
      <c r="D37" s="14" t="n">
        <f aca="false">SUMPRODUCT(($C$16:$C$27&lt;=B37+0.000000001)*($E$16:$E$27&lt;&gt;"")*$B$16:$B$27)</f>
        <v>53037148</v>
      </c>
      <c r="E37" s="11" t="n">
        <f aca="false">F36</f>
        <v>416615721.07612</v>
      </c>
      <c r="F37" s="11" t="n">
        <f aca="false">E37+(C37-B37)*D37</f>
        <v>436921523.5594</v>
      </c>
      <c r="G37" s="11" t="n">
        <f aca="false">H36</f>
        <v>5719616383.13987</v>
      </c>
      <c r="H37" s="11" t="n">
        <f aca="false">IF(F37&lt;=0,$C$4,$C$4*NORMSDIST((LN($C$4/F37)+($C$7+$C$6^2/2)*$C$5)/($C$6*SQRT($C$5)))-F37*EXP(-$C$7*$C$5)*NORMSDIST((LN($C$4/F37)+($C$7-$C$6^2/2)*$C$5)/($C$6*SQRT($C$5))))</f>
        <v>5699486581.43987</v>
      </c>
      <c r="I37" s="13" t="n">
        <f aca="false">G37-H37</f>
        <v>20129801.7000036</v>
      </c>
    </row>
    <row r="38" customFormat="false" ht="15" hidden="false" customHeight="false" outlineLevel="0" collapsed="false">
      <c r="A38" s="3" t="s">
        <v>108</v>
      </c>
      <c r="B38" s="26" t="n">
        <f aca="false">C22</f>
        <v>0.8805</v>
      </c>
      <c r="C38" s="26" t="n">
        <f aca="false">C23</f>
        <v>1.7032</v>
      </c>
      <c r="D38" s="14" t="n">
        <f aca="false">SUMPRODUCT(($C$16:$C$27&lt;=B38+0.000000001)*($E$16:$E$27&lt;&gt;"")*$B$16:$B$27)</f>
        <v>67233624</v>
      </c>
      <c r="E38" s="11" t="n">
        <f aca="false">F37</f>
        <v>436921523.5594</v>
      </c>
      <c r="F38" s="11" t="n">
        <f aca="false">E38+(C38-B38)*D38</f>
        <v>492234626.0242</v>
      </c>
      <c r="G38" s="11" t="n">
        <f aca="false">H37</f>
        <v>5699486581.43987</v>
      </c>
      <c r="H38" s="11" t="n">
        <f aca="false">IF(F38&lt;=0,$C$4,$C$4*NORMSDIST((LN($C$4/F38)+($C$7+$C$6^2/2)*$C$5)/($C$6*SQRT($C$5)))-F38*EXP(-$C$7*$C$5)*NORMSDIST((LN($C$4/F38)+($C$7-$C$6^2/2)*$C$5)/($C$6*SQRT($C$5))))</f>
        <v>5644662274.11381</v>
      </c>
      <c r="I38" s="13" t="n">
        <f aca="false">G38-H38</f>
        <v>54824307.3260632</v>
      </c>
    </row>
    <row r="39" customFormat="false" ht="15" hidden="false" customHeight="false" outlineLevel="0" collapsed="false">
      <c r="A39" s="3" t="s">
        <v>109</v>
      </c>
      <c r="B39" s="26" t="n">
        <f aca="false">C23</f>
        <v>1.7032</v>
      </c>
      <c r="C39" s="26" t="n">
        <f aca="false">C24</f>
        <v>3.13</v>
      </c>
      <c r="D39" s="14" t="n">
        <f aca="false">SUMPRODUCT(($C$16:$C$27&lt;=B39+0.000000001)*($E$16:$E$27&lt;&gt;"")*$B$16:$B$27)</f>
        <v>92380401</v>
      </c>
      <c r="E39" s="11" t="n">
        <f aca="false">F38</f>
        <v>492234626.0242</v>
      </c>
      <c r="F39" s="11" t="n">
        <f aca="false">E39+(C39-B39)*D39</f>
        <v>624042982.171</v>
      </c>
      <c r="G39" s="11" t="n">
        <f aca="false">H38</f>
        <v>5644662274.11381</v>
      </c>
      <c r="H39" s="11" t="n">
        <f aca="false">IF(F39&lt;=0,$C$4,$C$4*NORMSDIST((LN($C$4/F39)+($C$7+$C$6^2/2)*$C$5)/($C$6*SQRT($C$5)))-F39*EXP(-$C$7*$C$5)*NORMSDIST((LN($C$4/F39)+($C$7-$C$6^2/2)*$C$5)/($C$6*SQRT($C$5))))</f>
        <v>5514112524.40243</v>
      </c>
      <c r="I39" s="13" t="n">
        <f aca="false">G39-H39</f>
        <v>130549749.711383</v>
      </c>
    </row>
    <row r="40" customFormat="false" ht="15" hidden="false" customHeight="false" outlineLevel="0" collapsed="false">
      <c r="A40" s="3" t="s">
        <v>110</v>
      </c>
      <c r="B40" s="26" t="n">
        <f aca="false">C24</f>
        <v>3.13</v>
      </c>
      <c r="C40" s="26" t="n">
        <f aca="false">C25</f>
        <v>3.7914</v>
      </c>
      <c r="D40" s="14" t="n">
        <f aca="false">SUMPRODUCT(($C$16:$C$27&lt;=B40+0.000000001)*($E$16:$E$27&lt;&gt;"")*$B$16:$B$27)</f>
        <v>117736307</v>
      </c>
      <c r="E40" s="11" t="n">
        <f aca="false">F39</f>
        <v>624042982.171</v>
      </c>
      <c r="F40" s="11" t="n">
        <f aca="false">E40+(C40-B40)*D40</f>
        <v>701913775.6208</v>
      </c>
      <c r="G40" s="11" t="n">
        <f aca="false">H39</f>
        <v>5514112524.40243</v>
      </c>
      <c r="H40" s="11" t="n">
        <f aca="false">IF(F40&lt;=0,$C$4,$C$4*NORMSDIST((LN($C$4/F40)+($C$7+$C$6^2/2)*$C$5)/($C$6*SQRT($C$5)))-F40*EXP(-$C$7*$C$5)*NORMSDIST((LN($C$4/F40)+($C$7-$C$6^2/2)*$C$5)/($C$6*SQRT($C$5))))</f>
        <v>5437089157.35317</v>
      </c>
      <c r="I40" s="13" t="n">
        <f aca="false">G40-H40</f>
        <v>77023367.0492573</v>
      </c>
    </row>
    <row r="41" customFormat="false" ht="15" hidden="false" customHeight="false" outlineLevel="0" collapsed="false">
      <c r="A41" s="3" t="s">
        <v>111</v>
      </c>
      <c r="B41" s="26" t="n">
        <f aca="false">C25</f>
        <v>3.7914</v>
      </c>
      <c r="C41" s="26" t="n">
        <f aca="false">C26</f>
        <v>5.9566</v>
      </c>
      <c r="D41" s="14" t="n">
        <f aca="false">SUMPRODUCT(($C$16:$C$27&lt;=B41+0.000000001)*($E$16:$E$27&lt;&gt;"")*$B$16:$B$27)</f>
        <v>148068109</v>
      </c>
      <c r="E41" s="11" t="n">
        <f aca="false">F40</f>
        <v>701913775.6208</v>
      </c>
      <c r="F41" s="11" t="n">
        <f aca="false">E41+(C41-B41)*D41</f>
        <v>1022510845.2276</v>
      </c>
      <c r="G41" s="11" t="n">
        <f aca="false">H40</f>
        <v>5437089157.35317</v>
      </c>
      <c r="H41" s="11" t="n">
        <f aca="false">IF(F41&lt;=0,$C$4,$C$4*NORMSDIST((LN($C$4/F41)+($C$7+$C$6^2/2)*$C$5)/($C$6*SQRT($C$5)))-F41*EXP(-$C$7*$C$5)*NORMSDIST((LN($C$4/F41)+($C$7-$C$6^2/2)*$C$5)/($C$6*SQRT($C$5))))</f>
        <v>5121685106.22955</v>
      </c>
      <c r="I41" s="13" t="n">
        <f aca="false">G41-H41</f>
        <v>315404051.123623</v>
      </c>
    </row>
    <row r="42" customFormat="false" ht="15" hidden="false" customHeight="false" outlineLevel="0" collapsed="false">
      <c r="A42" s="3" t="s">
        <v>112</v>
      </c>
      <c r="B42" s="26" t="n">
        <f aca="false">C26</f>
        <v>5.9566</v>
      </c>
      <c r="C42" s="26" t="n">
        <f aca="false">C27</f>
        <v>9.1456</v>
      </c>
      <c r="D42" s="14" t="n">
        <f aca="false">SUMPRODUCT(($C$16:$C$27&lt;=B42+0.000000001)*($E$16:$E$27&lt;&gt;"")*$B$16:$B$27)</f>
        <v>170732042</v>
      </c>
      <c r="E42" s="11" t="n">
        <f aca="false">F41</f>
        <v>1022510845.2276</v>
      </c>
      <c r="F42" s="11" t="n">
        <f aca="false">E42+(C42-B42)*D42</f>
        <v>1566975327.1656</v>
      </c>
      <c r="G42" s="11" t="n">
        <f aca="false">H41</f>
        <v>5121685106.22955</v>
      </c>
      <c r="H42" s="11" t="n">
        <f aca="false">IF(F42&lt;=0,$C$4,$C$4*NORMSDIST((LN($C$4/F42)+($C$7+$C$6^2/2)*$C$5)/($C$6*SQRT($C$5)))-F42*EXP(-$C$7*$C$5)*NORMSDIST((LN($C$4/F42)+($C$7-$C$6^2/2)*$C$5)/($C$6*SQRT($C$5))))</f>
        <v>4599478474.19631</v>
      </c>
      <c r="I42" s="13" t="n">
        <f aca="false">G42-H42</f>
        <v>522206632.033231</v>
      </c>
    </row>
    <row r="43" customFormat="false" ht="15" hidden="false" customHeight="false" outlineLevel="0" collapsed="false">
      <c r="A43" s="3" t="s">
        <v>113</v>
      </c>
      <c r="B43" s="26" t="n">
        <f aca="false">C27</f>
        <v>9.1456</v>
      </c>
      <c r="C43" s="3" t="s">
        <v>114</v>
      </c>
      <c r="D43" s="14" t="n">
        <f aca="false">SUMPRODUCT(($C$16:$C$27&lt;=B43+0.000000001)*($E$16:$E$27&lt;&gt;"")*$B$16:$B$27)</f>
        <v>180026126</v>
      </c>
      <c r="E43" s="11" t="n">
        <f aca="false">F42</f>
        <v>1566975327.1656</v>
      </c>
      <c r="F43" s="3" t="s">
        <v>114</v>
      </c>
      <c r="G43" s="11" t="n">
        <f aca="false">H42</f>
        <v>4599478474.19631</v>
      </c>
      <c r="H43" s="11" t="n">
        <v>0</v>
      </c>
      <c r="I43" s="13" t="n">
        <f aca="false">G43-H43</f>
        <v>4599478474.19631</v>
      </c>
    </row>
    <row r="44" customFormat="false" ht="15" hidden="false" customHeight="false" outlineLevel="0" collapsed="false">
      <c r="A44" s="2" t="s">
        <v>115</v>
      </c>
      <c r="I44" s="13" t="n">
        <f aca="false">SUM(I32:I43)</f>
        <v>6132730201.73017</v>
      </c>
    </row>
    <row r="46" customFormat="false" ht="15" hidden="false" customHeight="false" outlineLevel="0" collapsed="false">
      <c r="A46" s="28" t="s">
        <v>116</v>
      </c>
    </row>
    <row r="47" customFormat="false" ht="26.85" hidden="false" customHeight="false" outlineLevel="0" collapsed="false">
      <c r="A47" s="4" t="s">
        <v>66</v>
      </c>
      <c r="B47" s="4" t="s">
        <v>102</v>
      </c>
      <c r="C47" s="4" t="s">
        <v>103</v>
      </c>
      <c r="D47" s="4" t="s">
        <v>104</v>
      </c>
      <c r="E47" s="4" t="s">
        <v>105</v>
      </c>
      <c r="F47" s="4" t="s">
        <v>106</v>
      </c>
      <c r="G47" s="4" t="s">
        <v>107</v>
      </c>
      <c r="H47" s="4" t="s">
        <v>108</v>
      </c>
      <c r="I47" s="4" t="s">
        <v>109</v>
      </c>
      <c r="J47" s="4" t="s">
        <v>110</v>
      </c>
      <c r="K47" s="4" t="s">
        <v>111</v>
      </c>
      <c r="L47" s="4" t="s">
        <v>112</v>
      </c>
      <c r="M47" s="4" t="s">
        <v>113</v>
      </c>
      <c r="N47" s="4" t="s">
        <v>90</v>
      </c>
    </row>
    <row r="48" customFormat="false" ht="15" hidden="false" customHeight="false" outlineLevel="0" collapsed="false">
      <c r="A48" s="2" t="s">
        <v>74</v>
      </c>
      <c r="B48" s="11" t="n">
        <f aca="false">IF($D$28&gt;0,$I$32*$D$16/$D$28,0)</f>
        <v>0</v>
      </c>
      <c r="C48" s="11" t="n">
        <f aca="false">IF(AND($C$16&lt;=$B$33+0.000000001,$D$33&gt;0),$I$33*$B$16/$D$33,0)</f>
        <v>7138788.03411867</v>
      </c>
      <c r="D48" s="11" t="n">
        <f aca="false">IF(AND($C$16&lt;=$B$34+0.000000001,$D$34&gt;0),$I$34*$B$16/$D$34,0)</f>
        <v>606881.031642924</v>
      </c>
      <c r="E48" s="11" t="n">
        <f aca="false">IF(AND($C$16&lt;=$B$35+0.000000001,$D$35&gt;0),$I$35*$B$16/$D$35,0)</f>
        <v>3241027.5993515</v>
      </c>
      <c r="F48" s="11" t="n">
        <f aca="false">IF(AND($C$16&lt;=$B$36+0.000000001,$D$36&gt;0),$I$36*$B$16/$D$36,0)</f>
        <v>2030910.92045809</v>
      </c>
      <c r="G48" s="11" t="n">
        <f aca="false">IF(AND($C$16&lt;=$B$37+0.000000001,$D$37&gt;0),$I$37*$B$16/$D$37,0)</f>
        <v>10014448.0113653</v>
      </c>
      <c r="H48" s="11" t="n">
        <f aca="false">IF(AND($C$16&lt;=$B$38+0.000000001,$D$38&gt;0),$I$38*$B$16/$D$38,0)</f>
        <v>21515642.245133</v>
      </c>
      <c r="I48" s="11" t="n">
        <f aca="false">IF(AND($C$16&lt;=$B$39+0.000000001,$D$39&gt;0),$I$39*$B$16/$D$39,0)</f>
        <v>37287552.9044727</v>
      </c>
      <c r="J48" s="11" t="n">
        <f aca="false">IF(AND($C$16&lt;=$B$40+0.000000001,$D$40&gt;0),$I$40*$B$16/$D$40,0)</f>
        <v>17261549.2824967</v>
      </c>
      <c r="K48" s="11" t="n">
        <f aca="false">IF(AND($C$16&lt;=$B$41+0.000000001,$D$41&gt;0),$I$41*$B$16/$D$41,0)</f>
        <v>56204801.6274839</v>
      </c>
      <c r="L48" s="11" t="n">
        <f aca="false">IF(AND($C$16&lt;=$B$42+0.000000001,$D$42&gt;0),$I$42*$B$16/$D$42,0)</f>
        <v>80703994.4210425</v>
      </c>
      <c r="M48" s="11" t="n">
        <f aca="false">IF(AND($C$16&lt;=$B$43+0.000000001,$D$43&gt;0),$I$43*$B$16/$D$43,0)</f>
        <v>674125471.134832</v>
      </c>
      <c r="N48" s="13" t="n">
        <f aca="false">SUM(B48:M48)</f>
        <v>910131067.212398</v>
      </c>
    </row>
    <row r="49" customFormat="false" ht="15" hidden="false" customHeight="false" outlineLevel="0" collapsed="false">
      <c r="A49" s="2" t="s">
        <v>43</v>
      </c>
      <c r="B49" s="11" t="n">
        <f aca="false">IF($D$28&gt;0,$I$32*$D$17/$D$28,0)</f>
        <v>0</v>
      </c>
      <c r="C49" s="11" t="n">
        <f aca="false">IF(AND($C$17&lt;=$B$33+0.000000001,$D$33&gt;0),$I$33*$B$17/$D$33,0)</f>
        <v>167121.218668917</v>
      </c>
      <c r="D49" s="11" t="n">
        <f aca="false">IF(AND($C$17&lt;=$B$34+0.000000001,$D$34&gt;0),$I$34*$B$17/$D$34,0)</f>
        <v>14207.271193721</v>
      </c>
      <c r="E49" s="11" t="n">
        <f aca="false">IF(AND($C$17&lt;=$B$35+0.000000001,$D$35&gt;0),$I$35*$B$17/$D$35,0)</f>
        <v>75873.450725041</v>
      </c>
      <c r="F49" s="11" t="n">
        <f aca="false">IF(AND($C$17&lt;=$B$36+0.000000001,$D$36&gt;0),$I$36*$B$17/$D$36,0)</f>
        <v>47544.2479049414</v>
      </c>
      <c r="G49" s="11" t="n">
        <f aca="false">IF(AND($C$17&lt;=$B$37+0.000000001,$D$37&gt;0),$I$37*$B$17/$D$37,0)</f>
        <v>234441.301234475</v>
      </c>
      <c r="H49" s="11" t="n">
        <f aca="false">IF(AND($C$17&lt;=$B$38+0.000000001,$D$38&gt;0),$I$38*$B$17/$D$38,0)</f>
        <v>503687.787796176</v>
      </c>
      <c r="I49" s="11" t="n">
        <f aca="false">IF(AND($C$17&lt;=$B$39+0.000000001,$D$39&gt;0),$I$39*$B$17/$D$39,0)</f>
        <v>872913.056501263</v>
      </c>
      <c r="J49" s="11" t="n">
        <f aca="false">IF(AND($C$17&lt;=$B$40+0.000000001,$D$40&gt;0),$I$40*$B$17/$D$40,0)</f>
        <v>404098.166021617</v>
      </c>
      <c r="K49" s="11" t="n">
        <f aca="false">IF(AND($C$17&lt;=$B$41+0.000000001,$D$41&gt;0),$I$41*$B$17/$D$41,0)</f>
        <v>1315771.6545354</v>
      </c>
      <c r="L49" s="11" t="n">
        <f aca="false">IF(AND($C$17&lt;=$B$42+0.000000001,$D$42&gt;0),$I$42*$B$17/$D$42,0)</f>
        <v>1889305.27627848</v>
      </c>
      <c r="M49" s="11" t="n">
        <f aca="false">IF(AND($C$17&lt;=$B$43+0.000000001,$D$43&gt;0),$I$43*$B$17/$D$43,0)</f>
        <v>15781484.1585669</v>
      </c>
      <c r="N49" s="13" t="n">
        <f aca="false">SUM(B49:M49)</f>
        <v>21306447.5894269</v>
      </c>
    </row>
    <row r="50" customFormat="false" ht="15" hidden="false" customHeight="false" outlineLevel="0" collapsed="false">
      <c r="A50" s="2" t="s">
        <v>77</v>
      </c>
      <c r="B50" s="11" t="n">
        <f aca="false">IF($D$28&gt;0,$I$32*$D$18/$D$28,0)</f>
        <v>1833195.36283023</v>
      </c>
      <c r="C50" s="11" t="n">
        <f aca="false">IF(AND($C$18&lt;=$B$33+0.000000001,$D$33&gt;0),$I$33*$B$18/$D$33,0)</f>
        <v>0</v>
      </c>
      <c r="D50" s="11" t="n">
        <f aca="false">IF(AND($C$18&lt;=$B$34+0.000000001,$D$34&gt;0),$I$34*$B$18/$D$34,0)</f>
        <v>155812.890477908</v>
      </c>
      <c r="E50" s="11" t="n">
        <f aca="false">IF(AND($C$18&lt;=$B$35+0.000000001,$D$35&gt;0),$I$35*$B$18/$D$35,0)</f>
        <v>832113.465478618</v>
      </c>
      <c r="F50" s="11" t="n">
        <f aca="false">IF(AND($C$18&lt;=$B$36+0.000000001,$D$36&gt;0),$I$36*$B$18/$D$36,0)</f>
        <v>521423.614053424</v>
      </c>
      <c r="G50" s="11" t="n">
        <f aca="false">IF(AND($C$18&lt;=$B$37+0.000000001,$D$37&gt;0),$I$37*$B$18/$D$37,0)</f>
        <v>2571146.58365145</v>
      </c>
      <c r="H50" s="11" t="n">
        <f aca="false">IF(AND($C$18&lt;=$B$38+0.000000001,$D$38&gt;0),$I$38*$B$18/$D$38,0)</f>
        <v>5524005.91533934</v>
      </c>
      <c r="I50" s="11" t="n">
        <f aca="false">IF(AND($C$18&lt;=$B$39+0.000000001,$D$39&gt;0),$I$39*$B$18/$D$39,0)</f>
        <v>9573344.84679069</v>
      </c>
      <c r="J50" s="11" t="n">
        <f aca="false">IF(AND($C$18&lt;=$B$40+0.000000001,$D$40&gt;0),$I$40*$B$18/$D$40,0)</f>
        <v>4431794.28520212</v>
      </c>
      <c r="K50" s="11" t="n">
        <f aca="false">IF(AND($C$18&lt;=$B$41+0.000000001,$D$41&gt;0),$I$41*$B$18/$D$41,0)</f>
        <v>14430229.5568671</v>
      </c>
      <c r="L50" s="11" t="n">
        <f aca="false">IF(AND($C$18&lt;=$B$42+0.000000001,$D$42&gt;0),$I$42*$B$18/$D$42,0)</f>
        <v>20720243.3231663</v>
      </c>
      <c r="M50" s="11" t="n">
        <f aca="false">IF(AND($C$18&lt;=$B$43+0.000000001,$D$43&gt;0),$I$43*$B$18/$D$43,0)</f>
        <v>173077477.669629</v>
      </c>
      <c r="N50" s="13" t="n">
        <f aca="false">SUM(B50:M50)</f>
        <v>233670787.513486</v>
      </c>
    </row>
    <row r="51" customFormat="false" ht="15" hidden="false" customHeight="false" outlineLevel="0" collapsed="false">
      <c r="A51" s="2" t="s">
        <v>79</v>
      </c>
      <c r="B51" s="11" t="n">
        <f aca="false">IF($D$28&gt;0,$I$32*$D$19/$D$28,0)</f>
        <v>2537897.31184804</v>
      </c>
      <c r="C51" s="11" t="n">
        <f aca="false">IF(AND($C$19&lt;=$B$33+0.000000001,$D$33&gt;0),$I$33*$B$19/$D$33,0)</f>
        <v>0</v>
      </c>
      <c r="D51" s="11" t="n">
        <f aca="false">IF(AND($C$19&lt;=$B$34+0.000000001,$D$34&gt;0),$I$34*$B$19/$D$34,0)</f>
        <v>0</v>
      </c>
      <c r="E51" s="11" t="n">
        <f aca="false">IF(AND($C$19&lt;=$B$35+0.000000001,$D$35&gt;0),$I$35*$B$19/$D$35,0)</f>
        <v>1061727.27435707</v>
      </c>
      <c r="F51" s="11" t="n">
        <f aca="false">IF(AND($C$19&lt;=$B$36+0.000000001,$D$36&gt;0),$I$36*$B$19/$D$36,0)</f>
        <v>665305.508805732</v>
      </c>
      <c r="G51" s="11" t="n">
        <f aca="false">IF(AND($C$19&lt;=$B$37+0.000000001,$D$37&gt;0),$I$37*$B$19/$D$37,0)</f>
        <v>3280630.06727401</v>
      </c>
      <c r="H51" s="11" t="n">
        <f aca="false">IF(AND($C$19&lt;=$B$38+0.000000001,$D$38&gt;0),$I$38*$B$19/$D$38,0)</f>
        <v>7048302.89058248</v>
      </c>
      <c r="I51" s="11" t="n">
        <f aca="false">IF(AND($C$19&lt;=$B$39+0.000000001,$D$39&gt;0),$I$39*$B$19/$D$39,0)</f>
        <v>12215018.4468136</v>
      </c>
      <c r="J51" s="11" t="n">
        <f aca="false">IF(AND($C$19&lt;=$B$40+0.000000001,$D$40&gt;0),$I$40*$B$19/$D$40,0)</f>
        <v>5654705.83297486</v>
      </c>
      <c r="K51" s="11" t="n">
        <f aca="false">IF(AND($C$19&lt;=$B$41+0.000000001,$D$41&gt;0),$I$41*$B$19/$D$41,0)</f>
        <v>18412114.3706608</v>
      </c>
      <c r="L51" s="11" t="n">
        <f aca="false">IF(AND($C$19&lt;=$B$42+0.000000001,$D$42&gt;0),$I$42*$B$19/$D$42,0)</f>
        <v>26437797.7045077</v>
      </c>
      <c r="M51" s="11" t="n">
        <f aca="false">IF(AND($C$19&lt;=$B$43+0.000000001,$D$43&gt;0),$I$43*$B$19/$D$43,0)</f>
        <v>220836564.053287</v>
      </c>
      <c r="N51" s="13" t="n">
        <f aca="false">SUM(B51:M51)</f>
        <v>298150063.461111</v>
      </c>
    </row>
    <row r="52" customFormat="false" ht="15" hidden="false" customHeight="false" outlineLevel="0" collapsed="false">
      <c r="A52" s="2" t="s">
        <v>49</v>
      </c>
      <c r="B52" s="11" t="n">
        <f aca="false">IF($D$28&gt;0,$I$32*$D$20/$D$28,0)</f>
        <v>0</v>
      </c>
      <c r="C52" s="11" t="n">
        <f aca="false">IF(AND($C$20&lt;=$B$33+0.000000001,$D$33&gt;0),$I$33*$B$20/$D$33,0)</f>
        <v>0</v>
      </c>
      <c r="D52" s="11" t="n">
        <f aca="false">IF(AND($C$20&lt;=$B$34+0.000000001,$D$34&gt;0),$I$34*$B$20/$D$34,0)</f>
        <v>0</v>
      </c>
      <c r="E52" s="11" t="n">
        <f aca="false">IF(AND($C$20&lt;=$B$35+0.000000001,$D$35&gt;0),$I$35*$B$20/$D$35,0)</f>
        <v>0</v>
      </c>
      <c r="F52" s="11" t="n">
        <f aca="false">IF(AND($C$20&lt;=$B$36+0.000000001,$D$36&gt;0),$I$36*$B$20/$D$36,0)</f>
        <v>19723.6399873744</v>
      </c>
      <c r="G52" s="11" t="n">
        <f aca="false">IF(AND($C$20&lt;=$B$37+0.000000001,$D$37&gt;0),$I$37*$B$20/$D$37,0)</f>
        <v>97257.5238326527</v>
      </c>
      <c r="H52" s="11" t="n">
        <f aca="false">IF(AND($C$20&lt;=$B$38+0.000000001,$D$38&gt;0),$I$38*$B$20/$D$38,0)</f>
        <v>208953.911993554</v>
      </c>
      <c r="I52" s="11" t="n">
        <f aca="false">IF(AND($C$20&lt;=$B$39+0.000000001,$D$39&gt;0),$I$39*$B$20/$D$39,0)</f>
        <v>362126.306028287</v>
      </c>
      <c r="J52" s="11" t="n">
        <f aca="false">IF(AND($C$20&lt;=$B$40+0.000000001,$D$40&gt;0),$I$40*$B$20/$D$40,0)</f>
        <v>167639.348551778</v>
      </c>
      <c r="K52" s="11" t="n">
        <f aca="false">IF(AND($C$20&lt;=$B$41+0.000000001,$D$41&gt;0),$I$41*$B$20/$D$41,0)</f>
        <v>545845.345404042</v>
      </c>
      <c r="L52" s="11" t="n">
        <f aca="false">IF(AND($C$20&lt;=$B$42+0.000000001,$D$42&gt;0),$I$42*$B$20/$D$42,0)</f>
        <v>783774.66754902</v>
      </c>
      <c r="M52" s="11" t="n">
        <f aca="false">IF(AND($C$20&lt;=$B$43+0.000000001,$D$43&gt;0),$I$43*$B$20/$D$43,0)</f>
        <v>6546918.41234647</v>
      </c>
      <c r="N52" s="13" t="n">
        <f aca="false">SUM(B52:M52)</f>
        <v>8732239.15569318</v>
      </c>
    </row>
    <row r="53" customFormat="false" ht="15" hidden="false" customHeight="false" outlineLevel="0" collapsed="false">
      <c r="A53" s="2" t="s">
        <v>81</v>
      </c>
      <c r="B53" s="11" t="n">
        <f aca="false">IF($D$28&gt;0,$I$32*$D$21/$D$28,0)</f>
        <v>5112033.79483814</v>
      </c>
      <c r="C53" s="11" t="n">
        <f aca="false">IF(AND($C$21&lt;=$B$33+0.000000001,$D$33&gt;0),$I$33*$B$21/$D$33,0)</f>
        <v>0</v>
      </c>
      <c r="D53" s="11" t="n">
        <f aca="false">IF(AND($C$21&lt;=$B$34+0.000000001,$D$34&gt;0),$I$34*$B$21/$D$34,0)</f>
        <v>0</v>
      </c>
      <c r="E53" s="11" t="n">
        <f aca="false">IF(AND($C$21&lt;=$B$35+0.000000001,$D$35&gt;0),$I$35*$B$21/$D$35,0)</f>
        <v>0</v>
      </c>
      <c r="F53" s="11" t="n">
        <f aca="false">IF(AND($C$21&lt;=$B$36+0.000000001,$D$36&gt;0),$I$36*$B$21/$D$36,0)</f>
        <v>0</v>
      </c>
      <c r="G53" s="11" t="n">
        <f aca="false">IF(AND($C$21&lt;=$B$37+0.000000001,$D$37&gt;0),$I$37*$B$21/$D$37,0)</f>
        <v>3931878.21264571</v>
      </c>
      <c r="H53" s="11" t="n">
        <f aca="false">IF(AND($C$21&lt;=$B$38+0.000000001,$D$38&gt;0),$I$38*$B$21/$D$38,0)</f>
        <v>8447483.56361823</v>
      </c>
      <c r="I53" s="11" t="n">
        <f aca="false">IF(AND($C$21&lt;=$B$39+0.000000001,$D$39&gt;0),$I$39*$B$21/$D$39,0)</f>
        <v>14639860.0004297</v>
      </c>
      <c r="J53" s="11" t="n">
        <f aca="false">IF(AND($C$21&lt;=$B$40+0.000000001,$D$40&gt;0),$I$40*$B$21/$D$40,0)</f>
        <v>6777239.19114997</v>
      </c>
      <c r="K53" s="11" t="n">
        <f aca="false">IF(AND($C$21&lt;=$B$41+0.000000001,$D$41&gt;0),$I$41*$B$21/$D$41,0)</f>
        <v>22067160.8374598</v>
      </c>
      <c r="L53" s="11" t="n">
        <f aca="false">IF(AND($C$21&lt;=$B$42+0.000000001,$D$42&gt;0),$I$42*$B$21/$D$42,0)</f>
        <v>31686047.6960343</v>
      </c>
      <c r="M53" s="11" t="n">
        <f aca="false">IF(AND($C$21&lt;=$B$43+0.000000001,$D$43&gt;0),$I$43*$B$21/$D$43,0)</f>
        <v>264675521.759806</v>
      </c>
      <c r="N53" s="13" t="n">
        <f aca="false">SUM(B53:M53)</f>
        <v>357337225.055982</v>
      </c>
    </row>
    <row r="54" customFormat="false" ht="15" hidden="false" customHeight="false" outlineLevel="0" collapsed="false">
      <c r="A54" s="2" t="s">
        <v>82</v>
      </c>
      <c r="B54" s="11" t="n">
        <f aca="false">IF($D$28&gt;0,$I$32*$D$22/$D$28,0)</f>
        <v>12395031.2063959</v>
      </c>
      <c r="C54" s="11" t="n">
        <f aca="false">IF(AND($C$22&lt;=$B$33+0.000000001,$D$33&gt;0),$I$33*$B$22/$D$33,0)</f>
        <v>0</v>
      </c>
      <c r="D54" s="11" t="n">
        <f aca="false">IF(AND($C$22&lt;=$B$34+0.000000001,$D$34&gt;0),$I$34*$B$22/$D$34,0)</f>
        <v>0</v>
      </c>
      <c r="E54" s="11" t="n">
        <f aca="false">IF(AND($C$22&lt;=$B$35+0.000000001,$D$35&gt;0),$I$35*$B$22/$D$35,0)</f>
        <v>0</v>
      </c>
      <c r="F54" s="11" t="n">
        <f aca="false">IF(AND($C$22&lt;=$B$36+0.000000001,$D$36&gt;0),$I$36*$B$22/$D$36,0)</f>
        <v>0</v>
      </c>
      <c r="G54" s="11" t="n">
        <f aca="false">IF(AND($C$22&lt;=$B$37+0.000000001,$D$37&gt;0),$I$37*$B$22/$D$37,0)</f>
        <v>0</v>
      </c>
      <c r="H54" s="11" t="n">
        <f aca="false">IF(AND($C$22&lt;=$B$38+0.000000001,$D$38&gt;0),$I$38*$B$22/$D$38,0)</f>
        <v>11576231.0116004</v>
      </c>
      <c r="I54" s="11" t="n">
        <f aca="false">IF(AND($C$22&lt;=$B$39+0.000000001,$D$39&gt;0),$I$39*$B$22/$D$39,0)</f>
        <v>20062116.7317043</v>
      </c>
      <c r="J54" s="11" t="n">
        <f aca="false">IF(AND($C$22&lt;=$B$40+0.000000001,$D$40&gt;0),$I$40*$B$22/$D$40,0)</f>
        <v>9287367.75949641</v>
      </c>
      <c r="K54" s="11" t="n">
        <f aca="false">IF(AND($C$22&lt;=$B$41+0.000000001,$D$41&gt;0),$I$41*$B$22/$D$41,0)</f>
        <v>30240313.544352</v>
      </c>
      <c r="L54" s="11" t="n">
        <f aca="false">IF(AND($C$22&lt;=$B$42+0.000000001,$D$42&gt;0),$I$42*$B$22/$D$42,0)</f>
        <v>43421807.8332396</v>
      </c>
      <c r="M54" s="11" t="n">
        <f aca="false">IF(AND($C$22&lt;=$B$43+0.000000001,$D$43&gt;0),$I$43*$B$22/$D$43,0)</f>
        <v>362705054.106672</v>
      </c>
      <c r="N54" s="13" t="n">
        <f aca="false">SUM(B54:M54)</f>
        <v>489687922.193461</v>
      </c>
    </row>
    <row r="55" customFormat="false" ht="15" hidden="false" customHeight="false" outlineLevel="0" collapsed="false">
      <c r="A55" s="2" t="s">
        <v>85</v>
      </c>
      <c r="B55" s="11" t="n">
        <f aca="false">IF($D$28&gt;0,$I$32*$D$23/$D$28,0)</f>
        <v>42470335.3830063</v>
      </c>
      <c r="C55" s="11" t="n">
        <f aca="false">IF(AND($C$23&lt;=$B$33+0.000000001,$D$33&gt;0),$I$33*$B$23/$D$33,0)</f>
        <v>0</v>
      </c>
      <c r="D55" s="11" t="n">
        <f aca="false">IF(AND($C$23&lt;=$B$34+0.000000001,$D$34&gt;0),$I$34*$B$23/$D$34,0)</f>
        <v>0</v>
      </c>
      <c r="E55" s="11" t="n">
        <f aca="false">IF(AND($C$23&lt;=$B$35+0.000000001,$D$35&gt;0),$I$35*$B$23/$D$35,0)</f>
        <v>0</v>
      </c>
      <c r="F55" s="11" t="n">
        <f aca="false">IF(AND($C$23&lt;=$B$36+0.000000001,$D$36&gt;0),$I$36*$B$23/$D$36,0)</f>
        <v>0</v>
      </c>
      <c r="G55" s="11" t="n">
        <f aca="false">IF(AND($C$23&lt;=$B$37+0.000000001,$D$37&gt;0),$I$37*$B$23/$D$37,0)</f>
        <v>0</v>
      </c>
      <c r="H55" s="11" t="n">
        <f aca="false">IF(AND($C$23&lt;=$B$38+0.000000001,$D$38&gt;0),$I$38*$B$23/$D$38,0)</f>
        <v>0</v>
      </c>
      <c r="I55" s="11" t="n">
        <f aca="false">IF(AND($C$23&lt;=$B$39+0.000000001,$D$39&gt;0),$I$39*$B$23/$D$39,0)</f>
        <v>35536817.4186423</v>
      </c>
      <c r="J55" s="11" t="n">
        <f aca="false">IF(AND($C$23&lt;=$B$40+0.000000001,$D$40&gt;0),$I$40*$B$23/$D$40,0)</f>
        <v>16451080.2515389</v>
      </c>
      <c r="K55" s="11" t="n">
        <f aca="false">IF(AND($C$23&lt;=$B$41+0.000000001,$D$41&gt;0),$I$41*$B$23/$D$41,0)</f>
        <v>53565858.2531256</v>
      </c>
      <c r="L55" s="11" t="n">
        <f aca="false">IF(AND($C$23&lt;=$B$42+0.000000001,$D$42&gt;0),$I$42*$B$23/$D$42,0)</f>
        <v>76914758.1779682</v>
      </c>
      <c r="M55" s="11" t="n">
        <f aca="false">IF(AND($C$23&lt;=$B$43+0.000000001,$D$43&gt;0),$I$43*$B$23/$D$43,0)</f>
        <v>642473745.765739</v>
      </c>
      <c r="N55" s="13" t="n">
        <f aca="false">SUM(B55:M55)</f>
        <v>867412595.250021</v>
      </c>
    </row>
    <row r="56" customFormat="false" ht="15" hidden="false" customHeight="false" outlineLevel="0" collapsed="false">
      <c r="A56" s="2" t="s">
        <v>83</v>
      </c>
      <c r="B56" s="11" t="n">
        <f aca="false">IF($D$28&gt;0,$I$32*$D$24/$D$28,0)</f>
        <v>0</v>
      </c>
      <c r="C56" s="11" t="n">
        <f aca="false">IF(AND($C$24&lt;=$B$33+0.000000001,$D$33&gt;0),$I$33*$B$24/$D$33,0)</f>
        <v>0</v>
      </c>
      <c r="D56" s="11" t="n">
        <f aca="false">IF(AND($C$24&lt;=$B$34+0.000000001,$D$34&gt;0),$I$34*$B$24/$D$34,0)</f>
        <v>0</v>
      </c>
      <c r="E56" s="11" t="n">
        <f aca="false">IF(AND($C$24&lt;=$B$35+0.000000001,$D$35&gt;0),$I$35*$B$24/$D$35,0)</f>
        <v>0</v>
      </c>
      <c r="F56" s="11" t="n">
        <f aca="false">IF(AND($C$24&lt;=$B$36+0.000000001,$D$36&gt;0),$I$36*$B$24/$D$36,0)</f>
        <v>0</v>
      </c>
      <c r="G56" s="11" t="n">
        <f aca="false">IF(AND($C$24&lt;=$B$37+0.000000001,$D$37&gt;0),$I$37*$B$24/$D$37,0)</f>
        <v>0</v>
      </c>
      <c r="H56" s="11" t="n">
        <f aca="false">IF(AND($C$24&lt;=$B$38+0.000000001,$D$38&gt;0),$I$38*$B$24/$D$38,0)</f>
        <v>0</v>
      </c>
      <c r="I56" s="11" t="n">
        <f aca="false">IF(AND($C$24&lt;=$B$39+0.000000001,$D$39&gt;0),$I$39*$B$24/$D$39,0)</f>
        <v>0</v>
      </c>
      <c r="J56" s="11" t="n">
        <f aca="false">IF(AND($C$24&lt;=$B$40+0.000000001,$D$40&gt;0),$I$40*$B$24/$D$40,0)</f>
        <v>16587892.9318249</v>
      </c>
      <c r="K56" s="11" t="n">
        <f aca="false">IF(AND($C$24&lt;=$B$41+0.000000001,$D$41&gt;0),$I$41*$B$24/$D$41,0)</f>
        <v>54011329.8286924</v>
      </c>
      <c r="L56" s="11" t="n">
        <f aca="false">IF(AND($C$24&lt;=$B$42+0.000000001,$D$42&gt;0),$I$42*$B$24/$D$42,0)</f>
        <v>77554407.0070408</v>
      </c>
      <c r="M56" s="11" t="n">
        <f aca="false">IF(AND($C$24&lt;=$B$43+0.000000001,$D$43&gt;0),$I$43*$B$24/$D$43,0)</f>
        <v>647816772.109761</v>
      </c>
      <c r="N56" s="13" t="n">
        <f aca="false">SUM(B56:M56)</f>
        <v>795970401.877319</v>
      </c>
    </row>
    <row r="57" customFormat="false" ht="15" hidden="false" customHeight="false" outlineLevel="0" collapsed="false">
      <c r="A57" s="2" t="s">
        <v>86</v>
      </c>
      <c r="B57" s="11" t="n">
        <f aca="false">IF($D$28&gt;0,$I$32*$D$25/$D$28,0)</f>
        <v>114034307.542914</v>
      </c>
      <c r="C57" s="11" t="n">
        <f aca="false">IF(AND($C$25&lt;=$B$33+0.000000001,$D$33&gt;0),$I$33*$B$25/$D$33,0)</f>
        <v>0</v>
      </c>
      <c r="D57" s="11" t="n">
        <f aca="false">IF(AND($C$25&lt;=$B$34+0.000000001,$D$34&gt;0),$I$34*$B$25/$D$34,0)</f>
        <v>0</v>
      </c>
      <c r="E57" s="11" t="n">
        <f aca="false">IF(AND($C$25&lt;=$B$35+0.000000001,$D$35&gt;0),$I$35*$B$25/$D$35,0)</f>
        <v>0</v>
      </c>
      <c r="F57" s="11" t="n">
        <f aca="false">IF(AND($C$25&lt;=$B$36+0.000000001,$D$36&gt;0),$I$36*$B$25/$D$36,0)</f>
        <v>0</v>
      </c>
      <c r="G57" s="11" t="n">
        <f aca="false">IF(AND($C$25&lt;=$B$37+0.000000001,$D$37&gt;0),$I$37*$B$25/$D$37,0)</f>
        <v>0</v>
      </c>
      <c r="H57" s="11" t="n">
        <f aca="false">IF(AND($C$25&lt;=$B$38+0.000000001,$D$38&gt;0),$I$38*$B$25/$D$38,0)</f>
        <v>0</v>
      </c>
      <c r="I57" s="11" t="n">
        <f aca="false">IF(AND($C$25&lt;=$B$39+0.000000001,$D$39&gt;0),$I$39*$B$25/$D$39,0)</f>
        <v>0</v>
      </c>
      <c r="J57" s="11" t="n">
        <f aca="false">IF(AND($C$25&lt;=$B$40+0.000000001,$D$40&gt;0),$I$40*$B$25/$D$40,0)</f>
        <v>0</v>
      </c>
      <c r="K57" s="11" t="n">
        <f aca="false">IF(AND($C$25&lt;=$B$41+0.000000001,$D$41&gt;0),$I$41*$B$25/$D$41,0)</f>
        <v>64610626.105042</v>
      </c>
      <c r="L57" s="11" t="n">
        <f aca="false">IF(AND($C$25&lt;=$B$42+0.000000001,$D$42&gt;0),$I$42*$B$25/$D$42,0)</f>
        <v>92773845.9657082</v>
      </c>
      <c r="M57" s="11" t="n">
        <f aca="false">IF(AND($C$25&lt;=$B$43+0.000000001,$D$43&gt;0),$I$43*$B$25/$D$43,0)</f>
        <v>774945689.730527</v>
      </c>
      <c r="N57" s="13" t="n">
        <f aca="false">SUM(B57:M57)</f>
        <v>1046364469.34419</v>
      </c>
    </row>
    <row r="58" customFormat="false" ht="15" hidden="false" customHeight="false" outlineLevel="0" collapsed="false">
      <c r="A58" s="2" t="s">
        <v>87</v>
      </c>
      <c r="B58" s="11" t="n">
        <f aca="false">IF($D$28&gt;0,$I$32*$D$26/$D$28,0)</f>
        <v>133866351.341275</v>
      </c>
      <c r="C58" s="11" t="n">
        <f aca="false">IF(AND($C$26&lt;=$B$33+0.000000001,$D$33&gt;0),$I$33*$B$26/$D$33,0)</f>
        <v>0</v>
      </c>
      <c r="D58" s="11" t="n">
        <f aca="false">IF(AND($C$26&lt;=$B$34+0.000000001,$D$34&gt;0),$I$34*$B$26/$D$34,0)</f>
        <v>0</v>
      </c>
      <c r="E58" s="11" t="n">
        <f aca="false">IF(AND($C$26&lt;=$B$35+0.000000001,$D$35&gt;0),$I$35*$B$26/$D$35,0)</f>
        <v>0</v>
      </c>
      <c r="F58" s="11" t="n">
        <f aca="false">IF(AND($C$26&lt;=$B$36+0.000000001,$D$36&gt;0),$I$36*$B$26/$D$36,0)</f>
        <v>0</v>
      </c>
      <c r="G58" s="11" t="n">
        <f aca="false">IF(AND($C$26&lt;=$B$37+0.000000001,$D$37&gt;0),$I$37*$B$26/$D$37,0)</f>
        <v>0</v>
      </c>
      <c r="H58" s="11" t="n">
        <f aca="false">IF(AND($C$26&lt;=$B$38+0.000000001,$D$38&gt;0),$I$38*$B$26/$D$38,0)</f>
        <v>0</v>
      </c>
      <c r="I58" s="11" t="n">
        <f aca="false">IF(AND($C$26&lt;=$B$39+0.000000001,$D$39&gt;0),$I$39*$B$26/$D$39,0)</f>
        <v>0</v>
      </c>
      <c r="J58" s="11" t="n">
        <f aca="false">IF(AND($C$26&lt;=$B$40+0.000000001,$D$40&gt;0),$I$40*$B$26/$D$40,0)</f>
        <v>0</v>
      </c>
      <c r="K58" s="11" t="n">
        <f aca="false">IF(AND($C$26&lt;=$B$41+0.000000001,$D$41&gt;0),$I$41*$B$26/$D$41,0)</f>
        <v>0</v>
      </c>
      <c r="L58" s="11" t="n">
        <f aca="false">IF(AND($C$26&lt;=$B$42+0.000000001,$D$42&gt;0),$I$42*$B$26/$D$42,0)</f>
        <v>69320649.9606957</v>
      </c>
      <c r="M58" s="11" t="n">
        <f aca="false">IF(AND($C$26&lt;=$B$43+0.000000001,$D$43&gt;0),$I$43*$B$26/$D$43,0)</f>
        <v>579039688.795656</v>
      </c>
      <c r="N58" s="13" t="n">
        <f aca="false">SUM(B58:M58)</f>
        <v>782226690.097626</v>
      </c>
    </row>
    <row r="59" customFormat="false" ht="15" hidden="false" customHeight="false" outlineLevel="0" collapsed="false">
      <c r="A59" s="2" t="s">
        <v>89</v>
      </c>
      <c r="B59" s="11" t="n">
        <f aca="false">IF($D$28&gt;0,$I$32*$D$27/$D$28,0)</f>
        <v>84286206.4799614</v>
      </c>
      <c r="C59" s="11" t="n">
        <f aca="false">IF(AND($C$27&lt;=$B$33+0.000000001,$D$33&gt;0),$I$33*$B$27/$D$33,0)</f>
        <v>0</v>
      </c>
      <c r="D59" s="11" t="n">
        <f aca="false">IF(AND($C$27&lt;=$B$34+0.000000001,$D$34&gt;0),$I$34*$B$27/$D$34,0)</f>
        <v>0</v>
      </c>
      <c r="E59" s="11" t="n">
        <f aca="false">IF(AND($C$27&lt;=$B$35+0.000000001,$D$35&gt;0),$I$35*$B$27/$D$35,0)</f>
        <v>0</v>
      </c>
      <c r="F59" s="11" t="n">
        <f aca="false">IF(AND($C$27&lt;=$B$36+0.000000001,$D$36&gt;0),$I$36*$B$27/$D$36,0)</f>
        <v>0</v>
      </c>
      <c r="G59" s="11" t="n">
        <f aca="false">IF(AND($C$27&lt;=$B$37+0.000000001,$D$37&gt;0),$I$37*$B$27/$D$37,0)</f>
        <v>0</v>
      </c>
      <c r="H59" s="11" t="n">
        <f aca="false">IF(AND($C$27&lt;=$B$38+0.000000001,$D$38&gt;0),$I$38*$B$27/$D$38,0)</f>
        <v>0</v>
      </c>
      <c r="I59" s="11" t="n">
        <f aca="false">IF(AND($C$27&lt;=$B$39+0.000000001,$D$39&gt;0),$I$39*$B$27/$D$39,0)</f>
        <v>0</v>
      </c>
      <c r="J59" s="11" t="n">
        <f aca="false">IF(AND($C$27&lt;=$B$40+0.000000001,$D$40&gt;0),$I$40*$B$27/$D$40,0)</f>
        <v>0</v>
      </c>
      <c r="K59" s="11" t="n">
        <f aca="false">IF(AND($C$27&lt;=$B$41+0.000000001,$D$41&gt;0),$I$41*$B$27/$D$41,0)</f>
        <v>0</v>
      </c>
      <c r="L59" s="11" t="n">
        <f aca="false">IF(AND($C$27&lt;=$B$42+0.000000001,$D$42&gt;0),$I$42*$B$27/$D$42,0)</f>
        <v>0</v>
      </c>
      <c r="M59" s="11" t="n">
        <f aca="false">IF(AND($C$27&lt;=$B$43+0.000000001,$D$43&gt;0),$I$43*$B$27/$D$43,0)</f>
        <v>237454086.499492</v>
      </c>
      <c r="N59" s="13" t="n">
        <f aca="false">SUM(B59:M59)</f>
        <v>321740292.979453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80"/>
  </cols>
  <sheetData>
    <row r="1" customFormat="false" ht="17.3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4" t="s">
        <v>143</v>
      </c>
      <c r="B3" s="4" t="s">
        <v>144</v>
      </c>
      <c r="C3" s="4" t="s">
        <v>145</v>
      </c>
      <c r="D3" s="4" t="s">
        <v>146</v>
      </c>
    </row>
    <row r="4" customFormat="false" ht="15" hidden="false" customHeight="false" outlineLevel="0" collapsed="false">
      <c r="A4" s="2" t="s">
        <v>147</v>
      </c>
      <c r="B4" s="38" t="n">
        <f aca="false">OPM_2019!C5</f>
        <v>3.5</v>
      </c>
      <c r="C4" s="38" t="n">
        <f aca="false">OPM_2020!C5</f>
        <v>2.5</v>
      </c>
      <c r="D4" s="8"/>
    </row>
    <row r="5" customFormat="false" ht="15" hidden="false" customHeight="false" outlineLevel="0" collapsed="false">
      <c r="A5" s="2" t="s">
        <v>148</v>
      </c>
      <c r="B5" s="39" t="n">
        <f aca="false">OPM_2019!C6</f>
        <v>0.54</v>
      </c>
      <c r="C5" s="39" t="n">
        <f aca="false">OPM_2020!C6</f>
        <v>0.54</v>
      </c>
      <c r="D5" s="8"/>
    </row>
    <row r="6" customFormat="false" ht="15" hidden="false" customHeight="false" outlineLevel="0" collapsed="false">
      <c r="A6" s="2" t="s">
        <v>149</v>
      </c>
      <c r="B6" s="40" t="n">
        <f aca="false">OPM_2019!C7</f>
        <v>0.0144</v>
      </c>
      <c r="C6" s="40" t="n">
        <f aca="false">OPM_2020!C7</f>
        <v>0.0016</v>
      </c>
      <c r="D6" s="8"/>
    </row>
    <row r="7" customFormat="false" ht="15" hidden="false" customHeight="false" outlineLevel="0" collapsed="false">
      <c r="A7" s="2" t="s">
        <v>150</v>
      </c>
      <c r="B7" s="36" t="n">
        <f aca="false">NORMSDIST(SQRT((B5^2*B4)+LN(2*(EXP((B5^2*B4))-(B5^2*B4)-1))-2*LN(EXP((B5^2*B4))-1))/2)-NORMSDIST(-SQRT((B5^2*B4)+LN(2*(EXP((B5^2*B4))-(B5^2*B4)-1))-2*LN(EXP((B5^2*B4))-1))/2)</f>
        <v>0.210216902070432</v>
      </c>
      <c r="C7" s="36" t="n">
        <f aca="false">NORMSDIST(SQRT((C5^2*C4)+LN(2*(EXP((C5^2*C4))-(C5^2*C4)-1))-2*LN(EXP((C5^2*C4))-1))/2)-NORMSDIST(-SQRT((C5^2*C4)+LN(2*(EXP((C5^2*C4))-(C5^2*C4)-1))-2*LN(EXP((C5^2*C4))-1))/2)</f>
        <v>0.182970603804145</v>
      </c>
      <c r="D7" s="8" t="s">
        <v>151</v>
      </c>
    </row>
    <row r="8" customFormat="false" ht="15" hidden="false" customHeight="false" outlineLevel="0" collapsed="false">
      <c r="A8" s="2" t="s">
        <v>152</v>
      </c>
      <c r="B8" s="36" t="n">
        <f aca="false">EXP(-B6*B4)*NORMSDIST(-(((B6+B5^2/2)*B4/(B5*SQRT(B4)))-B5*SQRT(B4)))-NORMSDIST(-((B6+B5^2/2)*B4/(B5*SQRT(B4))))</f>
        <v>0.352883886685538</v>
      </c>
      <c r="C8" s="36" t="n">
        <f aca="false">EXP(-C6*C4)*NORMSDIST(-(((C6+C5^2/2)*C4/(C5*SQRT(C4)))-C5*SQRT(C4)))-NORMSDIST(-((C6+C5^2/2)*C4/(C5*SQRT(C4))))</f>
        <v>0.327900899981018</v>
      </c>
      <c r="D8" s="8" t="s">
        <v>153</v>
      </c>
    </row>
    <row r="9" customFormat="false" ht="15" hidden="false" customHeight="false" outlineLevel="0" collapsed="false">
      <c r="A9" s="2" t="s">
        <v>154</v>
      </c>
      <c r="B9" s="39" t="n">
        <f aca="false">OPM_2019!C8</f>
        <v>0.3</v>
      </c>
      <c r="C9" s="39" t="n">
        <f aca="false">OPM_2020!C8</f>
        <v>0.25</v>
      </c>
      <c r="D9" s="8" t="s">
        <v>155</v>
      </c>
    </row>
    <row r="10" customFormat="false" ht="15" hidden="false" customHeight="false" outlineLevel="0" collapsed="false">
      <c r="A10" s="2" t="s">
        <v>156</v>
      </c>
      <c r="B10" s="41" t="n">
        <f aca="false">OPM_2019!H12</f>
        <v>3.59615079173267</v>
      </c>
      <c r="C10" s="41" t="n">
        <f aca="false">OPM_2020!H12</f>
        <v>4.75403104924603</v>
      </c>
      <c r="D10" s="8"/>
    </row>
    <row r="11" customFormat="false" ht="15" hidden="false" customHeight="false" outlineLevel="0" collapsed="false">
      <c r="A11" s="2" t="s">
        <v>157</v>
      </c>
      <c r="B11" s="24" t="n">
        <f aca="false">B10*(1-B7)</f>
        <v>2.8401791129165</v>
      </c>
      <c r="C11" s="24" t="n">
        <f aca="false">C10*(1-C7)</f>
        <v>3.88418311766183</v>
      </c>
      <c r="D11" s="8"/>
    </row>
    <row r="12" customFormat="false" ht="15" hidden="false" customHeight="false" outlineLevel="0" collapsed="false">
      <c r="A12" s="2" t="s">
        <v>158</v>
      </c>
      <c r="B12" s="24" t="n">
        <f aca="false">B10*(1-B8)</f>
        <v>2.32712712323877</v>
      </c>
      <c r="C12" s="24" t="n">
        <f aca="false">C10*(1-C8)</f>
        <v>3.19517998966056</v>
      </c>
      <c r="D12" s="8"/>
    </row>
    <row r="13" customFormat="false" ht="15" hidden="false" customHeight="false" outlineLevel="0" collapsed="false">
      <c r="A13" s="2" t="s">
        <v>159</v>
      </c>
      <c r="B13" s="41" t="n">
        <f aca="false">OPM_2019!C12</f>
        <v>2.51730555421287</v>
      </c>
      <c r="C13" s="41" t="n">
        <f aca="false">OPM_2020!C12</f>
        <v>3.56552328693452</v>
      </c>
      <c r="D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2" t="s">
        <v>161</v>
      </c>
    </row>
    <row r="4" customFormat="false" ht="15" hidden="false" customHeight="false" outlineLevel="0" collapsed="false">
      <c r="A4" s="4" t="s">
        <v>162</v>
      </c>
      <c r="B4" s="4" t="s">
        <v>163</v>
      </c>
      <c r="C4" s="4" t="s">
        <v>164</v>
      </c>
      <c r="D4" s="4" t="s">
        <v>165</v>
      </c>
      <c r="E4" s="4" t="s">
        <v>166</v>
      </c>
      <c r="F4" s="4" t="s">
        <v>167</v>
      </c>
    </row>
    <row r="5" customFormat="false" ht="15" hidden="false" customHeight="false" outlineLevel="0" collapsed="false">
      <c r="A5" s="42" t="n">
        <v>2</v>
      </c>
      <c r="B5" s="6" t="n">
        <v>3.38103336554975</v>
      </c>
      <c r="C5" s="6" t="n">
        <v>3.4083051088048</v>
      </c>
      <c r="D5" s="6" t="n">
        <v>3.44848442274104</v>
      </c>
      <c r="E5" s="6" t="n">
        <v>3.48764857438031</v>
      </c>
      <c r="F5" s="6" t="n">
        <v>3.55553975403301</v>
      </c>
    </row>
    <row r="6" customFormat="false" ht="15" hidden="false" customHeight="false" outlineLevel="0" collapsed="false">
      <c r="A6" s="42" t="n">
        <v>2.5</v>
      </c>
      <c r="B6" s="6" t="n">
        <v>3.41641101286567</v>
      </c>
      <c r="C6" s="6" t="n">
        <v>3.45908137445516</v>
      </c>
      <c r="D6" s="6" t="n">
        <v>3.51436870914229</v>
      </c>
      <c r="E6" s="6" t="n">
        <v>3.56552328693452</v>
      </c>
      <c r="F6" s="6" t="n">
        <v>3.65124655638736</v>
      </c>
    </row>
    <row r="7" customFormat="false" ht="15" hidden="false" customHeight="false" outlineLevel="0" collapsed="false">
      <c r="A7" s="42" t="n">
        <v>3</v>
      </c>
      <c r="B7" s="6" t="n">
        <v>3.45589425385438</v>
      </c>
      <c r="C7" s="6" t="n">
        <v>3.51240026762828</v>
      </c>
      <c r="D7" s="6" t="n">
        <v>3.58130045063116</v>
      </c>
      <c r="E7" s="6" t="n">
        <v>3.64322240856043</v>
      </c>
      <c r="F7" s="6" t="n">
        <v>3.74486481157337</v>
      </c>
    </row>
    <row r="8" customFormat="false" ht="15" hidden="false" customHeight="false" outlineLevel="0" collapsed="false">
      <c r="A8" s="42" t="n">
        <v>3.5</v>
      </c>
      <c r="B8" s="6" t="n">
        <v>3.49747402620966</v>
      </c>
      <c r="C8" s="6" t="n">
        <v>3.56662406962552</v>
      </c>
      <c r="D8" s="6" t="n">
        <v>3.64794755129641</v>
      </c>
      <c r="E8" s="6" t="n">
        <v>3.71965624324814</v>
      </c>
      <c r="F8" s="6" t="n">
        <v>3.83568184522091</v>
      </c>
    </row>
    <row r="10" customFormat="false" ht="15" hidden="false" customHeight="false" outlineLevel="0" collapsed="false">
      <c r="A10" s="8" t="s">
        <v>168</v>
      </c>
    </row>
    <row r="12" customFormat="false" ht="15" hidden="false" customHeight="false" outlineLevel="0" collapsed="false">
      <c r="A12" s="2" t="s">
        <v>169</v>
      </c>
    </row>
    <row r="13" customFormat="false" ht="15" hidden="false" customHeight="false" outlineLevel="0" collapsed="false">
      <c r="A13" s="4" t="s">
        <v>170</v>
      </c>
      <c r="B13" s="4" t="s">
        <v>171</v>
      </c>
      <c r="C13" s="4" t="s">
        <v>172</v>
      </c>
      <c r="D13" s="4" t="s">
        <v>173</v>
      </c>
      <c r="E13" s="4" t="s">
        <v>174</v>
      </c>
    </row>
    <row r="14" customFormat="false" ht="15" hidden="false" customHeight="false" outlineLevel="0" collapsed="false">
      <c r="A14" s="2" t="s">
        <v>175</v>
      </c>
      <c r="B14" s="6" t="n">
        <v>34.1239590612897</v>
      </c>
      <c r="C14" s="6" t="n">
        <v>34.2666676149536</v>
      </c>
      <c r="D14" s="6" t="n">
        <v>34.4095553598995</v>
      </c>
      <c r="E14" s="6" t="n">
        <v>34.552622207669</v>
      </c>
    </row>
    <row r="15" customFormat="false" ht="15" hidden="false" customHeight="false" outlineLevel="0" collapsed="false">
      <c r="A15" s="2" t="s">
        <v>176</v>
      </c>
      <c r="B15" s="6" t="n">
        <v>34.3059489364481</v>
      </c>
      <c r="C15" s="6" t="n">
        <v>34.5072237599012</v>
      </c>
      <c r="D15" s="6" t="n">
        <v>34.7076346079853</v>
      </c>
      <c r="E15" s="6" t="n">
        <v>34.9071852630243</v>
      </c>
    </row>
    <row r="16" customFormat="false" ht="15" hidden="false" customHeight="false" outlineLevel="0" collapsed="false">
      <c r="A16" s="2" t="s">
        <v>177</v>
      </c>
      <c r="B16" s="6" t="n">
        <v>34.4830856578839</v>
      </c>
      <c r="C16" s="6" t="n">
        <v>34.739203807135</v>
      </c>
      <c r="D16" s="6" t="n">
        <v>34.9923979503605</v>
      </c>
      <c r="E16" s="6" t="n">
        <v>35.2426993998294</v>
      </c>
    </row>
    <row r="17" customFormat="false" ht="15" hidden="false" customHeight="false" outlineLevel="0" collapsed="false">
      <c r="A17" s="2" t="s">
        <v>178</v>
      </c>
      <c r="B17" s="6" t="n">
        <v>34.6554411914201</v>
      </c>
      <c r="C17" s="6" t="n">
        <v>34.9627837027103</v>
      </c>
      <c r="D17" s="6" t="n">
        <v>35.2641987300982</v>
      </c>
      <c r="E17" s="6" t="n">
        <v>35.5597906536797</v>
      </c>
    </row>
    <row r="19" customFormat="false" ht="15" hidden="false" customHeight="false" outlineLevel="0" collapsed="false">
      <c r="A19" s="2" t="s">
        <v>179</v>
      </c>
    </row>
    <row r="20" customFormat="false" ht="15" hidden="false" customHeight="false" outlineLevel="0" collapsed="false">
      <c r="A20" s="4" t="s">
        <v>180</v>
      </c>
      <c r="B20" s="4" t="s">
        <v>181</v>
      </c>
    </row>
    <row r="21" customFormat="false" ht="15" hidden="false" customHeight="false" outlineLevel="0" collapsed="false">
      <c r="A21" s="3" t="s">
        <v>182</v>
      </c>
      <c r="B21" s="43" t="n">
        <v>40</v>
      </c>
    </row>
    <row r="22" customFormat="false" ht="15" hidden="false" customHeight="false" outlineLevel="0" collapsed="false">
      <c r="A22" s="3" t="s">
        <v>183</v>
      </c>
      <c r="B22" s="43" t="n">
        <v>-0.9431437332522</v>
      </c>
    </row>
    <row r="23" customFormat="false" ht="15" hidden="false" customHeight="false" outlineLevel="0" collapsed="false">
      <c r="A23" s="3" t="s">
        <v>59</v>
      </c>
      <c r="B23" s="43" t="n">
        <v>-5.75331921167157</v>
      </c>
    </row>
    <row r="24" customFormat="false" ht="15" hidden="false" customHeight="false" outlineLevel="0" collapsed="false">
      <c r="A24" s="3" t="s">
        <v>184</v>
      </c>
      <c r="B24" s="43" t="n">
        <v>-4.57353705507623</v>
      </c>
    </row>
    <row r="25" customFormat="false" ht="15" hidden="false" customHeight="false" outlineLevel="0" collapsed="false">
      <c r="A25" s="3" t="s">
        <v>185</v>
      </c>
      <c r="B25" s="43" t="n">
        <v>28.73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186</v>
      </c>
    </row>
    <row r="3" customFormat="false" ht="31.5" hidden="false" customHeight="true" outlineLevel="0" collapsed="false">
      <c r="A3" s="4" t="s">
        <v>9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59</v>
      </c>
      <c r="G3" s="4" t="s">
        <v>191</v>
      </c>
      <c r="H3" s="4" t="s">
        <v>192</v>
      </c>
      <c r="I3" s="4" t="s">
        <v>193</v>
      </c>
    </row>
    <row r="4" customFormat="false" ht="15" hidden="false" customHeight="false" outlineLevel="0" collapsed="false">
      <c r="A4" s="2" t="s">
        <v>13</v>
      </c>
      <c r="B4" s="3" t="s">
        <v>194</v>
      </c>
      <c r="C4" s="3" t="s">
        <v>195</v>
      </c>
      <c r="D4" s="37" t="n">
        <f aca="false">OPM_2019!C4</f>
        <v>663701696.426656</v>
      </c>
      <c r="E4" s="5" t="n">
        <f aca="false">OPM_2019!H12</f>
        <v>3.59615079173267</v>
      </c>
      <c r="F4" s="39" t="n">
        <f aca="false">OPM_2019!C8</f>
        <v>0.3</v>
      </c>
      <c r="G4" s="5" t="n">
        <f aca="false">OPM_2019!C12</f>
        <v>2.51730555421287</v>
      </c>
      <c r="H4" s="6" t="n">
        <v>2.51</v>
      </c>
      <c r="I4" s="7" t="n">
        <f aca="false">G4/H4-1</f>
        <v>0.00291057936767669</v>
      </c>
    </row>
    <row r="5" customFormat="false" ht="15" hidden="false" customHeight="false" outlineLevel="0" collapsed="false">
      <c r="A5" s="2" t="s">
        <v>14</v>
      </c>
      <c r="B5" s="3" t="s">
        <v>194</v>
      </c>
      <c r="C5" s="3" t="s">
        <v>196</v>
      </c>
      <c r="D5" s="37" t="n">
        <f aca="false">OPM_2020!C4</f>
        <v>932751860.408317</v>
      </c>
      <c r="E5" s="5" t="n">
        <f aca="false">OPM_2020!H12</f>
        <v>4.75403104924603</v>
      </c>
      <c r="F5" s="39" t="n">
        <f aca="false">OPM_2020!C8</f>
        <v>0.25</v>
      </c>
      <c r="G5" s="5" t="n">
        <f aca="false">OPM_2020!C12</f>
        <v>3.56552328693452</v>
      </c>
      <c r="H5" s="6" t="n">
        <v>3.54</v>
      </c>
      <c r="I5" s="7" t="n">
        <f aca="false">G5/H5-1</f>
        <v>0.00720996806059993</v>
      </c>
    </row>
    <row r="6" customFormat="false" ht="15" hidden="false" customHeight="false" outlineLevel="0" collapsed="false">
      <c r="A6" s="2" t="s">
        <v>15</v>
      </c>
      <c r="B6" s="3" t="s">
        <v>197</v>
      </c>
      <c r="C6" s="3" t="s">
        <v>198</v>
      </c>
      <c r="D6" s="37" t="n">
        <f aca="false">Hybrid_2021!C14</f>
        <v>6132730201.73017</v>
      </c>
      <c r="E6" s="5" t="n">
        <f aca="false">Hybrid_2021!E12</f>
        <v>33.6931717920183</v>
      </c>
      <c r="F6" s="39" t="n">
        <f aca="false">Hybrid_2021!F12</f>
        <v>0.147304973917416</v>
      </c>
      <c r="G6" s="5" t="n">
        <f aca="false">Hybrid_2021!C22</f>
        <v>28.73</v>
      </c>
      <c r="H6" s="6" t="n">
        <v>28.73</v>
      </c>
      <c r="I6" s="7" t="n">
        <f aca="false">G6/H6-1</f>
        <v>0</v>
      </c>
    </row>
    <row r="9" customFormat="false" ht="15" hidden="false" customHeight="false" outlineLevel="0" collapsed="false">
      <c r="A9" s="3" t="s">
        <v>199</v>
      </c>
    </row>
    <row r="10" customFormat="false" ht="15" hidden="false" customHeight="false" outlineLevel="0" collapsed="false">
      <c r="A10" s="3" t="s">
        <v>200</v>
      </c>
    </row>
    <row r="11" customFormat="false" ht="15" hidden="false" customHeight="false" outlineLevel="0" collapsed="false">
      <c r="A11" s="3" t="s">
        <v>201</v>
      </c>
    </row>
    <row r="12" customFormat="false" ht="15" hidden="false" customHeight="false" outlineLevel="0" collapsed="false">
      <c r="A12" s="3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203</v>
      </c>
    </row>
    <row r="3" customFormat="false" ht="15" hidden="false" customHeight="false" outlineLevel="0" collapsed="false">
      <c r="A3" s="4" t="s">
        <v>204</v>
      </c>
      <c r="B3" s="4" t="s">
        <v>205</v>
      </c>
      <c r="C3" s="4" t="s">
        <v>206</v>
      </c>
      <c r="D3" s="4" t="s">
        <v>207</v>
      </c>
    </row>
    <row r="4" customFormat="false" ht="36" hidden="false" customHeight="true" outlineLevel="0" collapsed="false">
      <c r="A4" s="3" t="n">
        <v>1</v>
      </c>
      <c r="B4" s="44" t="s">
        <v>208</v>
      </c>
      <c r="C4" s="44" t="s">
        <v>209</v>
      </c>
      <c r="D4" s="44" t="s">
        <v>210</v>
      </c>
    </row>
    <row r="5" customFormat="false" ht="36" hidden="false" customHeight="true" outlineLevel="0" collapsed="false">
      <c r="A5" s="3" t="n">
        <v>2</v>
      </c>
      <c r="B5" s="44" t="s">
        <v>211</v>
      </c>
      <c r="C5" s="44" t="s">
        <v>212</v>
      </c>
      <c r="D5" s="44" t="s">
        <v>213</v>
      </c>
    </row>
    <row r="6" customFormat="false" ht="36" hidden="false" customHeight="true" outlineLevel="0" collapsed="false">
      <c r="A6" s="3" t="n">
        <v>3</v>
      </c>
      <c r="B6" s="44" t="s">
        <v>214</v>
      </c>
      <c r="C6" s="44" t="s">
        <v>215</v>
      </c>
      <c r="D6" s="44" t="s">
        <v>216</v>
      </c>
    </row>
    <row r="7" customFormat="false" ht="36" hidden="false" customHeight="true" outlineLevel="0" collapsed="false">
      <c r="A7" s="3" t="n">
        <v>4</v>
      </c>
      <c r="B7" s="44" t="s">
        <v>217</v>
      </c>
      <c r="C7" s="44" t="s">
        <v>218</v>
      </c>
      <c r="D7" s="44" t="s">
        <v>219</v>
      </c>
    </row>
    <row r="8" customFormat="false" ht="36" hidden="false" customHeight="true" outlineLevel="0" collapsed="false">
      <c r="A8" s="3" t="n">
        <v>5</v>
      </c>
      <c r="B8" s="44" t="s">
        <v>220</v>
      </c>
      <c r="C8" s="44" t="s">
        <v>221</v>
      </c>
      <c r="D8" s="44" t="s">
        <v>222</v>
      </c>
    </row>
    <row r="9" customFormat="false" ht="36" hidden="false" customHeight="true" outlineLevel="0" collapsed="false">
      <c r="A9" s="3" t="n">
        <v>6</v>
      </c>
      <c r="B9" s="44" t="s">
        <v>223</v>
      </c>
      <c r="C9" s="44" t="s">
        <v>224</v>
      </c>
      <c r="D9" s="44" t="s">
        <v>225</v>
      </c>
    </row>
    <row r="10" customFormat="false" ht="36" hidden="false" customHeight="true" outlineLevel="0" collapsed="false">
      <c r="A10" s="3" t="n">
        <v>7</v>
      </c>
      <c r="B10" s="44" t="s">
        <v>226</v>
      </c>
      <c r="C10" s="44" t="s">
        <v>227</v>
      </c>
      <c r="D10" s="44" t="s">
        <v>228</v>
      </c>
    </row>
    <row r="11" customFormat="false" ht="36" hidden="false" customHeight="true" outlineLevel="0" collapsed="false">
      <c r="A11" s="3" t="n">
        <v>8</v>
      </c>
      <c r="B11" s="44" t="s">
        <v>229</v>
      </c>
      <c r="C11" s="44" t="s">
        <v>230</v>
      </c>
      <c r="D11" s="44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232</v>
      </c>
    </row>
    <row r="3" customFormat="false" ht="15" hidden="false" customHeight="false" outlineLevel="0" collapsed="false">
      <c r="A3" s="3" t="s">
        <v>233</v>
      </c>
      <c r="B3" s="45" t="s">
        <v>234</v>
      </c>
    </row>
    <row r="4" customFormat="false" ht="15" hidden="false" customHeight="false" outlineLevel="0" collapsed="false">
      <c r="A4" s="3" t="s">
        <v>235</v>
      </c>
      <c r="B4" s="45" t="s">
        <v>236</v>
      </c>
    </row>
    <row r="5" customFormat="false" ht="15" hidden="false" customHeight="false" outlineLevel="0" collapsed="false">
      <c r="A5" s="3" t="s">
        <v>237</v>
      </c>
      <c r="B5" s="45" t="s">
        <v>238</v>
      </c>
    </row>
    <row r="6" customFormat="false" ht="15" hidden="false" customHeight="false" outlineLevel="0" collapsed="false">
      <c r="A6" s="3" t="s">
        <v>239</v>
      </c>
      <c r="B6" s="45" t="s">
        <v>240</v>
      </c>
    </row>
    <row r="7" customFormat="false" ht="15" hidden="false" customHeight="false" outlineLevel="0" collapsed="false">
      <c r="A7" s="3" t="s">
        <v>241</v>
      </c>
      <c r="B7" s="45" t="s">
        <v>242</v>
      </c>
    </row>
    <row r="8" customFormat="false" ht="15" hidden="false" customHeight="false" outlineLevel="0" collapsed="false">
      <c r="A8" s="3" t="s">
        <v>243</v>
      </c>
      <c r="B8" s="45" t="s">
        <v>244</v>
      </c>
    </row>
    <row r="9" customFormat="false" ht="15" hidden="false" customHeight="false" outlineLevel="0" collapsed="false">
      <c r="A9" s="3" t="s">
        <v>245</v>
      </c>
      <c r="B9" s="45" t="s">
        <v>246</v>
      </c>
    </row>
    <row r="10" customFormat="false" ht="15" hidden="false" customHeight="false" outlineLevel="0" collapsed="false">
      <c r="A10" s="3" t="s">
        <v>247</v>
      </c>
      <c r="B10" s="45" t="s">
        <v>248</v>
      </c>
    </row>
    <row r="11" customFormat="false" ht="15" hidden="false" customHeight="false" outlineLevel="0" collapsed="false">
      <c r="A11" s="3" t="s">
        <v>249</v>
      </c>
      <c r="B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2026-10-28T19:15:01Z</dcterms:created>
  <dc:creator>openpyxl</dc:creator>
  <dc:description/>
  <dc:language>en-US</dc:language>
  <cp:lastModifiedBy/>
  <dcterms:modified xsi:type="dcterms:W3CDTF">2026-10-28T19:15:04Z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